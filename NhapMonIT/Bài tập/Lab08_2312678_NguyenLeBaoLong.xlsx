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lbl2005/Documents/Zalo Received Files/"/>
    </mc:Choice>
  </mc:AlternateContent>
  <xr:revisionPtr revIDLastSave="0" documentId="13_ncr:1_{6E855A64-65F2-3C4E-9E0B-5063492C937B}" xr6:coauthVersionLast="37" xr6:coauthVersionMax="47" xr10:uidLastSave="{00000000-0000-0000-0000-000000000000}"/>
  <bookViews>
    <workbookView xWindow="6680" yWindow="5440" windowWidth="20740" windowHeight="11160" activeTab="1" xr2:uid="{438DFB25-8BBE-4CC2-A868-3A9F99A16F84}"/>
  </bookViews>
  <sheets>
    <sheet name="BT1" sheetId="1" r:id="rId1"/>
    <sheet name="BT2" sheetId="3" r:id="rId2"/>
    <sheet name="BT3" sheetId="4" r:id="rId3"/>
    <sheet name="BT4" sheetId="7" r:id="rId4"/>
    <sheet name="BT5" sheetId="6" r:id="rId5"/>
  </sheets>
  <externalReferences>
    <externalReference r:id="rId6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3" l="1"/>
  <c r="E18" i="3"/>
  <c r="D18" i="3"/>
  <c r="C18" i="3"/>
  <c r="B18" i="3"/>
  <c r="V6" i="3"/>
  <c r="V7" i="3"/>
  <c r="V8" i="3"/>
  <c r="V9" i="3"/>
  <c r="V10" i="3"/>
  <c r="V11" i="3"/>
  <c r="V12" i="3"/>
  <c r="V13" i="3"/>
  <c r="V14" i="3"/>
  <c r="V5" i="3"/>
  <c r="T6" i="3"/>
  <c r="T7" i="3"/>
  <c r="T8" i="3"/>
  <c r="T9" i="3"/>
  <c r="U9" i="3" s="1"/>
  <c r="T10" i="3"/>
  <c r="U10" i="3" s="1"/>
  <c r="T11" i="3"/>
  <c r="T12" i="3"/>
  <c r="U12" i="3" s="1"/>
  <c r="T13" i="3"/>
  <c r="U13" i="3" s="1"/>
  <c r="T14" i="3"/>
  <c r="T5" i="3"/>
  <c r="U5" i="3" s="1"/>
  <c r="U6" i="3"/>
  <c r="U7" i="3"/>
  <c r="U8" i="3"/>
  <c r="U11" i="3"/>
  <c r="U14" i="3"/>
  <c r="I2" i="7"/>
  <c r="D5" i="7"/>
  <c r="E5" i="7"/>
  <c r="G5" i="7" s="1"/>
  <c r="I5" i="7" s="1"/>
  <c r="H5" i="7"/>
  <c r="D6" i="7"/>
  <c r="E6" i="7"/>
  <c r="G6" i="7" s="1"/>
  <c r="I6" i="7" s="1"/>
  <c r="H6" i="7"/>
  <c r="D7" i="7"/>
  <c r="E7" i="7"/>
  <c r="G7" i="7"/>
  <c r="H7" i="7"/>
  <c r="I7" i="7"/>
  <c r="D8" i="7"/>
  <c r="E8" i="7"/>
  <c r="G8" i="7"/>
  <c r="I8" i="7" s="1"/>
  <c r="H8" i="7"/>
  <c r="D9" i="7"/>
  <c r="E9" i="7"/>
  <c r="G9" i="7"/>
  <c r="I9" i="7" s="1"/>
  <c r="H9" i="7"/>
  <c r="D10" i="7"/>
  <c r="E10" i="7"/>
  <c r="G10" i="7"/>
  <c r="H10" i="7"/>
  <c r="I10" i="7"/>
  <c r="D11" i="7"/>
  <c r="E11" i="7"/>
  <c r="G11" i="7"/>
  <c r="I11" i="7" s="1"/>
  <c r="H11" i="7"/>
  <c r="D12" i="7"/>
  <c r="E12" i="7"/>
  <c r="G12" i="7" s="1"/>
  <c r="I12" i="7" s="1"/>
  <c r="H12" i="7"/>
  <c r="D13" i="7"/>
  <c r="E13" i="7"/>
  <c r="G13" i="7" s="1"/>
  <c r="I13" i="7" s="1"/>
  <c r="H13" i="7"/>
  <c r="D14" i="7"/>
  <c r="E14" i="7"/>
  <c r="G14" i="7" s="1"/>
  <c r="I14" i="7" s="1"/>
  <c r="H14" i="7"/>
  <c r="H6" i="1"/>
  <c r="H7" i="1"/>
  <c r="H8" i="1"/>
  <c r="H9" i="1"/>
  <c r="H10" i="1"/>
  <c r="H11" i="1"/>
  <c r="H12" i="1"/>
  <c r="H5" i="1"/>
  <c r="S13" i="3" l="1"/>
  <c r="S12" i="3"/>
  <c r="S7" i="3"/>
  <c r="S6" i="3"/>
  <c r="S5" i="3"/>
  <c r="S14" i="3"/>
  <c r="S8" i="3"/>
  <c r="S9" i="3"/>
  <c r="S10" i="3"/>
  <c r="S11" i="3"/>
  <c r="J6" i="3"/>
  <c r="J7" i="3"/>
  <c r="J8" i="3"/>
  <c r="J9" i="3"/>
  <c r="R9" i="3" s="1"/>
  <c r="J10" i="3"/>
  <c r="R10" i="3" s="1"/>
  <c r="J11" i="3"/>
  <c r="R11" i="3" s="1"/>
  <c r="J12" i="3"/>
  <c r="R12" i="3" s="1"/>
  <c r="J13" i="3"/>
  <c r="J14" i="3"/>
  <c r="J5" i="3"/>
  <c r="R7" i="3"/>
  <c r="R5" i="3"/>
  <c r="R13" i="3"/>
  <c r="R8" i="3"/>
  <c r="R6" i="3"/>
  <c r="R14" i="3"/>
  <c r="K14" i="3"/>
  <c r="K13" i="3"/>
  <c r="K12" i="3"/>
  <c r="K11" i="3"/>
  <c r="K10" i="3"/>
  <c r="K9" i="3"/>
  <c r="K8" i="3"/>
  <c r="K7" i="3"/>
  <c r="K6" i="3"/>
  <c r="K5" i="3"/>
  <c r="J18" i="6"/>
  <c r="J17" i="6"/>
  <c r="J16" i="6"/>
  <c r="J15" i="6"/>
  <c r="J14" i="6"/>
  <c r="J13" i="6"/>
  <c r="J12" i="6"/>
  <c r="J11" i="6"/>
  <c r="J10" i="6"/>
  <c r="J9" i="6"/>
  <c r="J8" i="6"/>
  <c r="J7" i="6"/>
  <c r="J6" i="6"/>
  <c r="I17" i="6"/>
  <c r="I16" i="6"/>
  <c r="I15" i="6"/>
  <c r="I14" i="6"/>
  <c r="I13" i="6"/>
  <c r="I12" i="6"/>
  <c r="I11" i="6"/>
  <c r="I10" i="6"/>
  <c r="I9" i="6"/>
  <c r="I8" i="6"/>
  <c r="I7" i="6"/>
  <c r="I6" i="6"/>
  <c r="F24" i="4"/>
  <c r="F25" i="4"/>
  <c r="F23" i="4"/>
  <c r="F13" i="4"/>
  <c r="F14" i="4"/>
  <c r="F15" i="4"/>
  <c r="F16" i="4"/>
  <c r="F17" i="4"/>
  <c r="F18" i="4"/>
  <c r="F19" i="4"/>
  <c r="F20" i="4"/>
  <c r="F21" i="4"/>
  <c r="F12" i="4"/>
  <c r="F7" i="4"/>
  <c r="F8" i="4"/>
  <c r="F9" i="4"/>
  <c r="F10" i="4"/>
  <c r="F6" i="4"/>
  <c r="I13" i="3"/>
  <c r="I14" i="3"/>
  <c r="I6" i="3"/>
  <c r="I7" i="3"/>
  <c r="I8" i="3"/>
  <c r="I9" i="3"/>
  <c r="I10" i="3"/>
  <c r="I11" i="3"/>
  <c r="I12" i="3"/>
  <c r="I5" i="3"/>
  <c r="H6" i="3"/>
  <c r="H7" i="3"/>
  <c r="H8" i="3"/>
  <c r="H9" i="3"/>
  <c r="H10" i="3"/>
  <c r="H11" i="3"/>
  <c r="H12" i="3"/>
  <c r="H13" i="3"/>
  <c r="H14" i="3"/>
  <c r="H5" i="3"/>
  <c r="G5" i="3"/>
  <c r="G6" i="3"/>
  <c r="G7" i="3"/>
  <c r="G8" i="3"/>
  <c r="G9" i="3"/>
  <c r="G10" i="3"/>
  <c r="G11" i="3"/>
  <c r="G12" i="3"/>
  <c r="G13" i="3"/>
  <c r="G14" i="3"/>
  <c r="F6" i="3"/>
  <c r="F7" i="3"/>
  <c r="F8" i="3"/>
  <c r="F9" i="3"/>
  <c r="F10" i="3"/>
  <c r="F11" i="3"/>
  <c r="F12" i="3"/>
  <c r="F13" i="3"/>
  <c r="F14" i="3"/>
  <c r="F5" i="3"/>
  <c r="G6" i="1"/>
  <c r="G7" i="1"/>
  <c r="G8" i="1"/>
  <c r="G9" i="1"/>
  <c r="G10" i="1"/>
  <c r="G11" i="1"/>
  <c r="G12" i="1"/>
  <c r="G5" i="1"/>
  <c r="F5" i="1"/>
  <c r="C5" i="1"/>
  <c r="F12" i="1"/>
  <c r="F6" i="1"/>
  <c r="F7" i="1"/>
  <c r="F8" i="1"/>
  <c r="F9" i="1"/>
  <c r="F10" i="1"/>
  <c r="F11" i="1"/>
  <c r="C6" i="1" l="1"/>
  <c r="C7" i="1"/>
  <c r="C8" i="1"/>
  <c r="C9" i="1"/>
  <c r="C10" i="1"/>
  <c r="C11" i="1"/>
  <c r="C12" i="1"/>
  <c r="B5" i="1"/>
  <c r="B6" i="1"/>
  <c r="B7" i="1"/>
  <c r="B8" i="1"/>
  <c r="B9" i="1"/>
  <c r="B10" i="1"/>
  <c r="B11" i="1"/>
  <c r="B12" i="1"/>
</calcChain>
</file>

<file path=xl/sharedStrings.xml><?xml version="1.0" encoding="utf-8"?>
<sst xmlns="http://schemas.openxmlformats.org/spreadsheetml/2006/main" count="328" uniqueCount="216">
  <si>
    <t>Mã</t>
  </si>
  <si>
    <t>lớp</t>
  </si>
  <si>
    <t>Họ tên</t>
  </si>
  <si>
    <t>Học phần</t>
  </si>
  <si>
    <t>Ca dạy</t>
  </si>
  <si>
    <t>Trong giờ</t>
  </si>
  <si>
    <t>Ngoài giờ</t>
  </si>
  <si>
    <t>Lý thuyết</t>
  </si>
  <si>
    <t>Thực hành</t>
  </si>
  <si>
    <t>Thù lao</t>
  </si>
  <si>
    <t>1 tiết</t>
  </si>
  <si>
    <t>Tiền lãnh</t>
  </si>
  <si>
    <t>NL1-01</t>
  </si>
  <si>
    <t>NT1-01</t>
  </si>
  <si>
    <t>NT2-04</t>
  </si>
  <si>
    <t>CL2-09</t>
  </si>
  <si>
    <t>NL3-04</t>
  </si>
  <si>
    <t>CT3-05</t>
  </si>
  <si>
    <t>NL1-02</t>
  </si>
  <si>
    <t>x</t>
  </si>
  <si>
    <t>X</t>
  </si>
  <si>
    <t>Bảng 1</t>
  </si>
  <si>
    <t>Mã môn</t>
  </si>
  <si>
    <t xml:space="preserve">Tiền thù lao 1 tiết </t>
  </si>
  <si>
    <t>Số Tiết</t>
  </si>
  <si>
    <t>Lớp cơ sở</t>
  </si>
  <si>
    <t>Lớp chuyên đề</t>
  </si>
  <si>
    <t>Lớp lập trình</t>
  </si>
  <si>
    <t>Bảng 2</t>
  </si>
  <si>
    <t>Mã GV</t>
  </si>
  <si>
    <t>Nguyễn Văn Cao</t>
  </si>
  <si>
    <t>Phạm Ngọc Thịnh</t>
  </si>
  <si>
    <t>Nguyễn Mạnh Cường</t>
  </si>
  <si>
    <t>Nguyễn Bích Liên</t>
  </si>
  <si>
    <t>Võ Minh Thiện</t>
  </si>
  <si>
    <t>Mã số</t>
  </si>
  <si>
    <t xml:space="preserve">Họ </t>
  </si>
  <si>
    <t>Tên</t>
  </si>
  <si>
    <t>Ngày sinh</t>
  </si>
  <si>
    <t>Phái</t>
  </si>
  <si>
    <t>Điểm thêm</t>
  </si>
  <si>
    <t>Điểm KK</t>
  </si>
  <si>
    <t>Giỏi</t>
  </si>
  <si>
    <t>TDTT</t>
  </si>
  <si>
    <t>VHNT</t>
  </si>
  <si>
    <t xml:space="preserve">Nghề </t>
  </si>
  <si>
    <t>Cộng</t>
  </si>
  <si>
    <t>Văn</t>
  </si>
  <si>
    <t>Toán</t>
  </si>
  <si>
    <t>Lý</t>
  </si>
  <si>
    <t>Hóa</t>
  </si>
  <si>
    <t>Anh</t>
  </si>
  <si>
    <t>Sử</t>
  </si>
  <si>
    <t>Tổng điểm</t>
  </si>
  <si>
    <t>Kết quả</t>
  </si>
  <si>
    <t>Khối</t>
  </si>
  <si>
    <t>A</t>
  </si>
  <si>
    <t>B</t>
  </si>
  <si>
    <t>C</t>
  </si>
  <si>
    <t>100TB</t>
  </si>
  <si>
    <t>220KH</t>
  </si>
  <si>
    <t>301GI</t>
  </si>
  <si>
    <t>201GI</t>
  </si>
  <si>
    <t>003KH</t>
  </si>
  <si>
    <t>000TB</t>
  </si>
  <si>
    <t>000XX</t>
  </si>
  <si>
    <t>011XX</t>
  </si>
  <si>
    <t>123KH</t>
  </si>
  <si>
    <t>030TB</t>
  </si>
  <si>
    <t>Lâm Đức</t>
  </si>
  <si>
    <t>Nguyễn Thị</t>
  </si>
  <si>
    <t>Trần Hải</t>
  </si>
  <si>
    <t>Phan Thành</t>
  </si>
  <si>
    <t>Võ Trường</t>
  </si>
  <si>
    <t>Nguyễn Ngọc</t>
  </si>
  <si>
    <t>Thái Minh</t>
  </si>
  <si>
    <t>Lê Thu</t>
  </si>
  <si>
    <t>Trần Chí</t>
  </si>
  <si>
    <t>Trí</t>
  </si>
  <si>
    <t>Nghĩa</t>
  </si>
  <si>
    <t>Thanh</t>
  </si>
  <si>
    <t>Châu</t>
  </si>
  <si>
    <t>Nguyễn Thuỵ Ngọc</t>
  </si>
  <si>
    <t>Long</t>
  </si>
  <si>
    <t>Hải</t>
  </si>
  <si>
    <t>Bích</t>
  </si>
  <si>
    <t>Trang</t>
  </si>
  <si>
    <t>Nam</t>
  </si>
  <si>
    <t>Nữ</t>
  </si>
  <si>
    <t>Điểm thi</t>
  </si>
  <si>
    <t>BẢNG LƯƠNG NHÂN VIÊN</t>
  </si>
  <si>
    <t>THÁNG 10/2013</t>
  </si>
  <si>
    <t>STT</t>
  </si>
  <si>
    <t>TỔ BÁN HÀNG</t>
  </si>
  <si>
    <t>TỔ TIẾP THỊ</t>
  </si>
  <si>
    <t>TỔ THƯ KÝ</t>
  </si>
  <si>
    <t>TỔNG CỘNG</t>
  </si>
  <si>
    <t>HẠNH</t>
  </si>
  <si>
    <t>H.ANH</t>
  </si>
  <si>
    <t>THỦY</t>
  </si>
  <si>
    <t>HỒNG</t>
  </si>
  <si>
    <t>A.ĐÀO</t>
  </si>
  <si>
    <t>ĐỨC</t>
  </si>
  <si>
    <t>HIỆP</t>
  </si>
  <si>
    <t>LÂM</t>
  </si>
  <si>
    <t>CHI</t>
  </si>
  <si>
    <t>THẢO</t>
  </si>
  <si>
    <t>HẢO</t>
  </si>
  <si>
    <t>TIẾN</t>
  </si>
  <si>
    <t>HOÀNG</t>
  </si>
  <si>
    <t>TRÍ</t>
  </si>
  <si>
    <t>KIỆT</t>
  </si>
  <si>
    <t>VIÊN</t>
  </si>
  <si>
    <t>DUYÊN</t>
  </si>
  <si>
    <t>TRANG</t>
  </si>
  <si>
    <t>TÊN</t>
  </si>
  <si>
    <t>CVỤ</t>
  </si>
  <si>
    <t>TT</t>
  </si>
  <si>
    <t>TP</t>
  </si>
  <si>
    <t>NV</t>
  </si>
  <si>
    <t>LCB</t>
  </si>
  <si>
    <t>BH</t>
  </si>
  <si>
    <t>TK</t>
  </si>
  <si>
    <t>NC</t>
  </si>
  <si>
    <t>LƯƠNG</t>
  </si>
  <si>
    <t>PHỤ CẤP</t>
  </si>
  <si>
    <t>THƯỞNG</t>
  </si>
  <si>
    <t>TẠM ỨNG</t>
  </si>
  <si>
    <t>CÒN LẠI</t>
  </si>
  <si>
    <t>QUỸ LƯƠNG</t>
  </si>
  <si>
    <t>10,000,000</t>
  </si>
  <si>
    <t>BẢNG HỆ SỐ</t>
  </si>
  <si>
    <t>MA-NV</t>
  </si>
  <si>
    <t>BC01</t>
  </si>
  <si>
    <t>BP02</t>
  </si>
  <si>
    <t>FV03</t>
  </si>
  <si>
    <t>FC04</t>
  </si>
  <si>
    <t>FP05</t>
  </si>
  <si>
    <t>MC06</t>
  </si>
  <si>
    <t>MP07</t>
  </si>
  <si>
    <t>TV08</t>
  </si>
  <si>
    <t>TP09</t>
  </si>
  <si>
    <t>TC10</t>
  </si>
  <si>
    <t>Họ-tên</t>
  </si>
  <si>
    <t>Hà Xuân Trung</t>
  </si>
  <si>
    <t>Nguyễn Cao Phan</t>
  </si>
  <si>
    <t>Lê Ngọc Hân</t>
  </si>
  <si>
    <t>Mai Thị Hương</t>
  </si>
  <si>
    <t>Lý Duy Kỳ</t>
  </si>
  <si>
    <t>Trần Thành Long</t>
  </si>
  <si>
    <t>Cao Thành Tâm</t>
  </si>
  <si>
    <t>Bửu Lâm</t>
  </si>
  <si>
    <t>Chức vụ</t>
  </si>
  <si>
    <t>L-NGÀY</t>
  </si>
  <si>
    <t>NG-CÔNG</t>
  </si>
  <si>
    <t>Thưởng</t>
  </si>
  <si>
    <t>Thực lĩnh</t>
  </si>
  <si>
    <t>Phòng ban</t>
  </si>
  <si>
    <t>Chức vụ &amp; Lương</t>
  </si>
  <si>
    <t>L-ngày</t>
  </si>
  <si>
    <t>Mã P-Ban</t>
  </si>
  <si>
    <t>P-Ban</t>
  </si>
  <si>
    <t>F</t>
  </si>
  <si>
    <t>T</t>
  </si>
  <si>
    <t>M</t>
  </si>
  <si>
    <t>Kinh doanh</t>
  </si>
  <si>
    <t>Tài vụ</t>
  </si>
  <si>
    <t>Tiếp thị</t>
  </si>
  <si>
    <t>Kho vận</t>
  </si>
  <si>
    <t>P</t>
  </si>
  <si>
    <t>V</t>
  </si>
  <si>
    <t>Phòng</t>
  </si>
  <si>
    <t>PP</t>
  </si>
  <si>
    <t>Tổng số ngày làm thêm:</t>
  </si>
  <si>
    <t>BẢNG HỌC PHÍ VÀ TIỀN GIẢM</t>
  </si>
  <si>
    <t>Học phí/Tiết</t>
  </si>
  <si>
    <t>Số tiết</t>
  </si>
  <si>
    <t>Stt</t>
  </si>
  <si>
    <t>Căn bản</t>
  </si>
  <si>
    <t>Windows</t>
  </si>
  <si>
    <t>Word</t>
  </si>
  <si>
    <t>Excel</t>
  </si>
  <si>
    <t>Access1</t>
  </si>
  <si>
    <t>Access2</t>
  </si>
  <si>
    <t>Ts tiết</t>
  </si>
  <si>
    <t>Học phí</t>
  </si>
  <si>
    <t>Giảm</t>
  </si>
  <si>
    <t>Lê Đình Tuấn</t>
  </si>
  <si>
    <t>Hà Thúc Anh Hào</t>
  </si>
  <si>
    <t>Văn Thông Thái</t>
  </si>
  <si>
    <t>Nguyến Thanh Xuân</t>
  </si>
  <si>
    <t>Võ Minh Thi</t>
  </si>
  <si>
    <t>Trương Văn Hình</t>
  </si>
  <si>
    <t>Nguyễ Minh Khôi</t>
  </si>
  <si>
    <t>Lý Thanh Hoa</t>
  </si>
  <si>
    <t>Phan Quang Đức</t>
  </si>
  <si>
    <t>Quan Thục Phấn</t>
  </si>
  <si>
    <t>Doãn Chí Bình</t>
  </si>
  <si>
    <t>Tăng Chí Giang</t>
  </si>
  <si>
    <t>Tổng công</t>
  </si>
  <si>
    <t>1</t>
  </si>
  <si>
    <t>2</t>
  </si>
  <si>
    <t>4</t>
  </si>
  <si>
    <t>5</t>
  </si>
  <si>
    <t>9</t>
  </si>
  <si>
    <t>3</t>
  </si>
  <si>
    <t xml:space="preserve">Giả Sử: </t>
  </si>
  <si>
    <t>TT/TP</t>
  </si>
  <si>
    <t>Mã chức vụ</t>
  </si>
  <si>
    <t>Tổng kết thưởng</t>
  </si>
  <si>
    <t>Nguyễn Nhãn</t>
  </si>
  <si>
    <t>Hoàng Trọng Thi</t>
  </si>
  <si>
    <t>Tổng quỹ thưởng:</t>
  </si>
  <si>
    <t>KHỐI</t>
  </si>
  <si>
    <t>TỔNG SỐ HỌC SINH</t>
  </si>
  <si>
    <t>TỶ LỆ(%)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</si>
</sst>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#,##0\ &quot;₫&quot;"/>
    <numFmt numFmtId="168" formatCode="_-* #,##0.00\ &quot;₫&quot;_-;\-* #,##0.00\ &quot;₫&quot;_-;_-* &quot;-&quot;??\ &quot;₫&quot;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168" fontId="3" fillId="0" borderId="0" applyFont="0" applyFill="0" applyBorder="0" applyAlignment="0" applyProtection="0"/>
  </cellStyleXfs>
  <cellXfs count="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0" fillId="0" borderId="6" xfId="0" applyBorder="1" applyAlignment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/>
    <xf numFmtId="0" fontId="0" fillId="0" borderId="3" xfId="0" applyBorder="1" applyAlignment="1"/>
    <xf numFmtId="1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4" xfId="0" quotePrefix="1" applyNumberFormat="1" applyBorder="1"/>
    <xf numFmtId="1" fontId="0" fillId="0" borderId="1" xfId="0" quotePrefix="1" applyNumberFormat="1" applyBorder="1"/>
    <xf numFmtId="1" fontId="0" fillId="0" borderId="1" xfId="0" applyNumberFormat="1" applyBorder="1"/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0" xfId="0" applyNumberFormat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167" fontId="0" fillId="0" borderId="1" xfId="0" applyNumberFormat="1" applyBorder="1"/>
    <xf numFmtId="168" fontId="0" fillId="0" borderId="1" xfId="2" applyFont="1" applyBorder="1"/>
    <xf numFmtId="3" fontId="0" fillId="0" borderId="1" xfId="0" applyNumberFormat="1" applyBorder="1"/>
    <xf numFmtId="0" fontId="0" fillId="0" borderId="0" xfId="0" applyAlignment="1">
      <alignment horizontal="left"/>
    </xf>
    <xf numFmtId="9" fontId="0" fillId="0" borderId="1" xfId="1" applyFont="1" applyBorder="1" applyAlignment="1">
      <alignment horizontal="center"/>
    </xf>
  </cellXfs>
  <cellStyles count="3">
    <cellStyle name="Currency 2" xfId="2" xr:uid="{8968AA75-3416-884F-9FCE-8D3585ECF89D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19049</xdr:rowOff>
    </xdr:from>
    <xdr:to>
      <xdr:col>4</xdr:col>
      <xdr:colOff>323850</xdr:colOff>
      <xdr:row>1</xdr:row>
      <xdr:rowOff>161925</xdr:rowOff>
    </xdr:to>
    <xdr:sp macro="" textlink="">
      <xdr:nvSpPr>
        <xdr:cNvPr id="2" name="Rectangle: Rounded Corners 2">
          <a:extLst>
            <a:ext uri="{FF2B5EF4-FFF2-40B4-BE49-F238E27FC236}">
              <a16:creationId xmlns:a16="http://schemas.microsoft.com/office/drawing/2014/main" id="{AD73EE92-8E18-844F-896C-1F4DEBC28EC6}"/>
            </a:ext>
          </a:extLst>
        </xdr:cNvPr>
        <xdr:cNvSpPr/>
      </xdr:nvSpPr>
      <xdr:spPr>
        <a:xfrm>
          <a:off x="57150" y="19049"/>
          <a:ext cx="2959100" cy="333376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 b="1"/>
            <a:t>BẢNG</a:t>
          </a:r>
          <a:r>
            <a:rPr lang="en-US" sz="1100" b="1" baseline="0"/>
            <a:t> LƯƠNG THÁNG 11</a:t>
          </a:r>
          <a:endParaRPr lang="en-US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lbl2005/Downloads/Lab7_2312647_LeAnhKhoa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T1"/>
      <sheetName val="BT2"/>
      <sheetName val="BT3"/>
      <sheetName val="BT5"/>
    </sheetNames>
    <sheetDataSet>
      <sheetData sheetId="0"/>
      <sheetData sheetId="1">
        <row r="17">
          <cell r="B17" t="str">
            <v>A</v>
          </cell>
          <cell r="C17" t="str">
            <v>B</v>
          </cell>
          <cell r="D17" t="str">
            <v>C</v>
          </cell>
        </row>
        <row r="18">
          <cell r="A18" t="str">
            <v>TỔNG SỐ HỌC SINH</v>
          </cell>
          <cell r="B18">
            <v>1</v>
          </cell>
          <cell r="C18">
            <v>2</v>
          </cell>
          <cell r="D18">
            <v>7</v>
          </cell>
        </row>
        <row r="19">
          <cell r="A19" t="str">
            <v>TỶ LỆ(%)</v>
          </cell>
          <cell r="B19">
            <v>0.1</v>
          </cell>
          <cell r="C19">
            <v>0.2</v>
          </cell>
          <cell r="D19">
            <v>0.7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DAB6F-0CBD-4AFF-988B-3CCBD0A0A581}">
  <dimension ref="A3:I20"/>
  <sheetViews>
    <sheetView zoomScale="125" workbookViewId="0">
      <selection activeCell="H5" sqref="H5:H12"/>
    </sheetView>
  </sheetViews>
  <sheetFormatPr baseColWidth="10" defaultColWidth="8.83203125" defaultRowHeight="15" x14ac:dyDescent="0.2"/>
  <cols>
    <col min="2" max="2" width="19.83203125" bestFit="1" customWidth="1"/>
    <col min="3" max="3" width="17" bestFit="1" customWidth="1"/>
    <col min="4" max="4" width="10.1640625" bestFit="1" customWidth="1"/>
    <col min="5" max="5" width="9.5" bestFit="1" customWidth="1"/>
    <col min="7" max="7" width="10.1640625" bestFit="1" customWidth="1"/>
    <col min="8" max="8" width="19.83203125" bestFit="1" customWidth="1"/>
  </cols>
  <sheetData>
    <row r="3" spans="1:9" x14ac:dyDescent="0.2">
      <c r="A3" s="5" t="s">
        <v>0</v>
      </c>
      <c r="B3" s="22" t="s">
        <v>2</v>
      </c>
      <c r="C3" s="22" t="s">
        <v>3</v>
      </c>
      <c r="D3" s="1" t="s">
        <v>4</v>
      </c>
      <c r="E3" s="1"/>
      <c r="F3" s="1" t="s">
        <v>176</v>
      </c>
      <c r="G3" s="2"/>
      <c r="H3" s="5" t="s">
        <v>9</v>
      </c>
      <c r="I3" s="3" t="s">
        <v>11</v>
      </c>
    </row>
    <row r="4" spans="1:9" x14ac:dyDescent="0.2">
      <c r="A4" s="4" t="s">
        <v>1</v>
      </c>
      <c r="B4" s="23"/>
      <c r="C4" s="23"/>
      <c r="D4" s="1" t="s">
        <v>5</v>
      </c>
      <c r="E4" s="1" t="s">
        <v>6</v>
      </c>
      <c r="F4" s="1" t="s">
        <v>7</v>
      </c>
      <c r="G4" s="2" t="s">
        <v>8</v>
      </c>
      <c r="H4" s="4" t="s">
        <v>10</v>
      </c>
      <c r="I4" s="3"/>
    </row>
    <row r="5" spans="1:9" x14ac:dyDescent="0.2">
      <c r="A5" s="4" t="s">
        <v>12</v>
      </c>
      <c r="B5" s="1" t="str">
        <f>VLOOKUP(RIGHT(A5,1),$G$15:$I$20,2,0)</f>
        <v>Nguyễn Văn Cao</v>
      </c>
      <c r="C5" s="1" t="str">
        <f>VLOOKUP(MID(A5,3,1),$A$15:$B$19,2,0)</f>
        <v>Lớp cơ sở</v>
      </c>
      <c r="D5" s="1" t="s">
        <v>20</v>
      </c>
      <c r="E5" s="1"/>
      <c r="F5" s="1">
        <f>IF(MID(A5,2,1)="L",VLOOKUP(MID(A5,3,1),$A$15:$E$19,5,0)," ")</f>
        <v>48</v>
      </c>
      <c r="G5" s="1" t="str">
        <f>IF(MID(A5,2,1)="T",VLOOKUP(MID(A5,3,1),$A$15:$E$19,5,0)," ")</f>
        <v xml:space="preserve"> </v>
      </c>
      <c r="H5" s="4">
        <f>IF(E5="X",IF(MID(A5,2,1)="L",VLOOKUP(MID(A5,3,1),$A$15:$E$19,3,0),VLOOKUP(MID(A5,3,1),$A$15:$E$19,4,0))*2%+IF(MID(A5,2,1)="L",VLOOKUP(MID(A5,3,1),$A$15:$E$19,3,0),VLOOKUP(MID(A5,3,1),$A$15:$E$19,4,0)),IF(MID(A5,2,1)="L",VLOOKUP(MID(A5,3,1),$A$15:$E$19,3,0),VLOOKUP(MID(A5,3,1),$A$15:$E$19,4,0)))</f>
        <v>25000</v>
      </c>
      <c r="I5" s="1"/>
    </row>
    <row r="6" spans="1:9" x14ac:dyDescent="0.2">
      <c r="A6" s="1" t="s">
        <v>13</v>
      </c>
      <c r="B6" s="1" t="str">
        <f t="shared" ref="B6:B12" si="0">VLOOKUP(RIGHT(A6,1),$G$15:$I$20,2,0)</f>
        <v>Nguyễn Văn Cao</v>
      </c>
      <c r="C6" s="1" t="str">
        <f t="shared" ref="C6:C12" si="1">VLOOKUP(MID(A6,3,1),$A$15:$B$19,2,0)</f>
        <v>Lớp cơ sở</v>
      </c>
      <c r="D6" s="1"/>
      <c r="E6" s="1" t="s">
        <v>20</v>
      </c>
      <c r="F6" s="1" t="str">
        <f t="shared" ref="F6:F11" si="2">IF(MID(A6,2,1)="L",VLOOKUP(MID(A6,3,1),$A$15:$E$19,5,0)," ")</f>
        <v xml:space="preserve"> </v>
      </c>
      <c r="G6" s="1">
        <f t="shared" ref="G6:G12" si="3">IF(MID(A6,2,1)="T",VLOOKUP(MID(A6,3,1),$A$15:$E$19,5,0)," ")</f>
        <v>48</v>
      </c>
      <c r="H6" s="4">
        <f t="shared" ref="H6:H12" si="4">IF(E6="X",IF(MID(A6,2,1)="L",VLOOKUP(MID(A6,3,1),$A$15:$E$19,3,0),VLOOKUP(MID(A6,3,1),$A$15:$E$19,4,0))*2%+IF(MID(A6,2,1)="L",VLOOKUP(MID(A6,3,1),$A$15:$E$19,3,0),VLOOKUP(MID(A6,3,1),$A$15:$E$19,4,0)),IF(MID(A6,2,1)="L",VLOOKUP(MID(A6,3,1),$A$15:$E$19,3,0),VLOOKUP(MID(A6,3,1),$A$15:$E$19,4,0)))</f>
        <v>20400</v>
      </c>
      <c r="I6" s="1"/>
    </row>
    <row r="7" spans="1:9" x14ac:dyDescent="0.2">
      <c r="A7" s="1" t="s">
        <v>14</v>
      </c>
      <c r="B7" s="1" t="str">
        <f t="shared" si="0"/>
        <v>Nguyễn Mạnh Cường</v>
      </c>
      <c r="C7" s="1" t="str">
        <f t="shared" si="1"/>
        <v>Lớp chuyên đề</v>
      </c>
      <c r="D7" s="1" t="s">
        <v>20</v>
      </c>
      <c r="E7" s="1"/>
      <c r="F7" s="1" t="str">
        <f t="shared" si="2"/>
        <v xml:space="preserve"> </v>
      </c>
      <c r="G7" s="1">
        <f t="shared" si="3"/>
        <v>48</v>
      </c>
      <c r="H7" s="4">
        <f t="shared" si="4"/>
        <v>25000</v>
      </c>
      <c r="I7" s="1"/>
    </row>
    <row r="8" spans="1:9" x14ac:dyDescent="0.2">
      <c r="A8" s="1" t="s">
        <v>15</v>
      </c>
      <c r="B8" s="1" t="str">
        <f t="shared" si="0"/>
        <v>Võ Minh Thiện</v>
      </c>
      <c r="C8" s="1" t="str">
        <f t="shared" si="1"/>
        <v>Lớp chuyên đề</v>
      </c>
      <c r="D8" s="1" t="s">
        <v>20</v>
      </c>
      <c r="E8" s="1"/>
      <c r="F8" s="1">
        <f t="shared" si="2"/>
        <v>48</v>
      </c>
      <c r="G8" s="1" t="str">
        <f t="shared" si="3"/>
        <v xml:space="preserve"> </v>
      </c>
      <c r="H8" s="4">
        <f t="shared" si="4"/>
        <v>45000</v>
      </c>
      <c r="I8" s="1"/>
    </row>
    <row r="9" spans="1:9" x14ac:dyDescent="0.2">
      <c r="A9" s="1" t="s">
        <v>16</v>
      </c>
      <c r="B9" s="1" t="str">
        <f t="shared" si="0"/>
        <v>Nguyễn Mạnh Cường</v>
      </c>
      <c r="C9" s="1" t="str">
        <f t="shared" si="1"/>
        <v>Lớp lập trình</v>
      </c>
      <c r="D9" s="1"/>
      <c r="E9" s="1" t="s">
        <v>20</v>
      </c>
      <c r="F9" s="1">
        <f t="shared" si="2"/>
        <v>50</v>
      </c>
      <c r="G9" s="1" t="str">
        <f t="shared" si="3"/>
        <v xml:space="preserve"> </v>
      </c>
      <c r="H9" s="4">
        <f t="shared" si="4"/>
        <v>35700</v>
      </c>
      <c r="I9" s="1"/>
    </row>
    <row r="10" spans="1:9" x14ac:dyDescent="0.2">
      <c r="A10" s="1" t="s">
        <v>17</v>
      </c>
      <c r="B10" s="1" t="str">
        <f t="shared" si="0"/>
        <v>Nguyễn Bích Liên</v>
      </c>
      <c r="C10" s="1" t="str">
        <f t="shared" si="1"/>
        <v>Lớp lập trình</v>
      </c>
      <c r="D10" s="1" t="s">
        <v>20</v>
      </c>
      <c r="E10" s="1"/>
      <c r="F10" s="1" t="str">
        <f t="shared" si="2"/>
        <v xml:space="preserve"> </v>
      </c>
      <c r="G10" s="1">
        <f t="shared" si="3"/>
        <v>50</v>
      </c>
      <c r="H10" s="4">
        <f t="shared" si="4"/>
        <v>20000</v>
      </c>
      <c r="I10" s="1"/>
    </row>
    <row r="11" spans="1:9" x14ac:dyDescent="0.2">
      <c r="A11" s="1" t="s">
        <v>12</v>
      </c>
      <c r="B11" s="1" t="str">
        <f t="shared" si="0"/>
        <v>Nguyễn Văn Cao</v>
      </c>
      <c r="C11" s="1" t="str">
        <f t="shared" si="1"/>
        <v>Lớp cơ sở</v>
      </c>
      <c r="D11" s="1" t="s">
        <v>20</v>
      </c>
      <c r="E11" s="1"/>
      <c r="F11" s="1">
        <f t="shared" si="2"/>
        <v>48</v>
      </c>
      <c r="G11" s="1" t="str">
        <f t="shared" si="3"/>
        <v xml:space="preserve"> </v>
      </c>
      <c r="H11" s="4">
        <f t="shared" si="4"/>
        <v>25000</v>
      </c>
      <c r="I11" s="1"/>
    </row>
    <row r="12" spans="1:9" x14ac:dyDescent="0.2">
      <c r="A12" s="1" t="s">
        <v>18</v>
      </c>
      <c r="B12" s="1" t="str">
        <f t="shared" si="0"/>
        <v>Phạm Ngọc Thịnh</v>
      </c>
      <c r="C12" s="1" t="str">
        <f t="shared" si="1"/>
        <v>Lớp cơ sở</v>
      </c>
      <c r="D12" s="1" t="s">
        <v>20</v>
      </c>
      <c r="E12" s="1"/>
      <c r="F12" s="1">
        <f>IF(MID(A12,2,1)="L",VLOOKUP(MID(A12,3,1),$A$15:$E$19,5,0)," ")</f>
        <v>48</v>
      </c>
      <c r="G12" s="1" t="str">
        <f t="shared" si="3"/>
        <v xml:space="preserve"> </v>
      </c>
      <c r="H12" s="4">
        <f t="shared" si="4"/>
        <v>25000</v>
      </c>
      <c r="I12" s="1"/>
    </row>
    <row r="14" spans="1:9" x14ac:dyDescent="0.2">
      <c r="A14" t="s">
        <v>21</v>
      </c>
      <c r="G14" t="s">
        <v>28</v>
      </c>
    </row>
    <row r="15" spans="1:9" x14ac:dyDescent="0.2">
      <c r="A15" s="1" t="s">
        <v>22</v>
      </c>
      <c r="B15" s="1" t="s">
        <v>3</v>
      </c>
      <c r="C15" s="13" t="s">
        <v>23</v>
      </c>
      <c r="D15" s="14"/>
      <c r="E15" s="36" t="s">
        <v>24</v>
      </c>
      <c r="G15" s="1" t="s">
        <v>29</v>
      </c>
      <c r="H15" s="21" t="s">
        <v>2</v>
      </c>
      <c r="I15" s="21"/>
    </row>
    <row r="16" spans="1:9" x14ac:dyDescent="0.2">
      <c r="A16" s="1"/>
      <c r="B16" s="1"/>
      <c r="C16" s="1" t="s">
        <v>7</v>
      </c>
      <c r="D16" s="10" t="s">
        <v>8</v>
      </c>
      <c r="E16" s="37"/>
      <c r="G16" s="20" t="s">
        <v>200</v>
      </c>
      <c r="H16" s="21" t="s">
        <v>30</v>
      </c>
      <c r="I16" s="21"/>
    </row>
    <row r="17" spans="1:9" x14ac:dyDescent="0.2">
      <c r="A17" s="20" t="s">
        <v>200</v>
      </c>
      <c r="B17" s="1" t="s">
        <v>25</v>
      </c>
      <c r="C17" s="1">
        <v>25000</v>
      </c>
      <c r="D17" s="1">
        <v>20000</v>
      </c>
      <c r="E17" s="33">
        <v>48</v>
      </c>
      <c r="G17" s="20" t="s">
        <v>201</v>
      </c>
      <c r="H17" s="24" t="s">
        <v>31</v>
      </c>
      <c r="I17" s="25"/>
    </row>
    <row r="18" spans="1:9" x14ac:dyDescent="0.2">
      <c r="A18" s="20" t="s">
        <v>201</v>
      </c>
      <c r="B18" s="1" t="s">
        <v>26</v>
      </c>
      <c r="C18" s="1">
        <v>45000</v>
      </c>
      <c r="D18" s="1">
        <v>25000</v>
      </c>
      <c r="E18" s="34">
        <v>48</v>
      </c>
      <c r="G18" s="20" t="s">
        <v>202</v>
      </c>
      <c r="H18" s="24" t="s">
        <v>32</v>
      </c>
      <c r="I18" s="25"/>
    </row>
    <row r="19" spans="1:9" x14ac:dyDescent="0.2">
      <c r="A19" s="20" t="s">
        <v>205</v>
      </c>
      <c r="B19" s="1" t="s">
        <v>27</v>
      </c>
      <c r="C19" s="1">
        <v>35000</v>
      </c>
      <c r="D19" s="1">
        <v>20000</v>
      </c>
      <c r="E19" s="35">
        <v>50</v>
      </c>
      <c r="G19" s="20" t="s">
        <v>203</v>
      </c>
      <c r="H19" s="21" t="s">
        <v>33</v>
      </c>
      <c r="I19" s="21"/>
    </row>
    <row r="20" spans="1:9" x14ac:dyDescent="0.2">
      <c r="G20" s="20" t="s">
        <v>204</v>
      </c>
      <c r="H20" s="21" t="s">
        <v>34</v>
      </c>
      <c r="I20" s="21"/>
    </row>
  </sheetData>
  <mergeCells count="9">
    <mergeCell ref="H19:I19"/>
    <mergeCell ref="H20:I20"/>
    <mergeCell ref="B3:B4"/>
    <mergeCell ref="C3:C4"/>
    <mergeCell ref="H15:I15"/>
    <mergeCell ref="H16:I16"/>
    <mergeCell ref="H17:I17"/>
    <mergeCell ref="H18:I18"/>
    <mergeCell ref="E15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4AC6-F883-4915-B30F-446F04A5FF92}">
  <dimension ref="A3:V19"/>
  <sheetViews>
    <sheetView tabSelected="1" topLeftCell="D5" zoomScale="187" workbookViewId="0">
      <selection activeCell="G20" sqref="G20"/>
    </sheetView>
  </sheetViews>
  <sheetFormatPr baseColWidth="10" defaultColWidth="8.83203125" defaultRowHeight="15" x14ac:dyDescent="0.2"/>
  <cols>
    <col min="1" max="1" width="16.1640625" bestFit="1" customWidth="1"/>
    <col min="2" max="2" width="17.6640625" bestFit="1" customWidth="1"/>
    <col min="4" max="4" width="10.6640625" bestFit="1" customWidth="1"/>
    <col min="5" max="5" width="10.6640625" customWidth="1"/>
    <col min="11" max="11" width="7" customWidth="1"/>
    <col min="12" max="17" width="6.83203125" customWidth="1"/>
    <col min="18" max="18" width="7.33203125" customWidth="1"/>
    <col min="19" max="19" width="9.33203125" bestFit="1" customWidth="1"/>
  </cols>
  <sheetData>
    <row r="3" spans="1:22" x14ac:dyDescent="0.2">
      <c r="A3" s="26" t="s">
        <v>35</v>
      </c>
      <c r="B3" s="26" t="s">
        <v>36</v>
      </c>
      <c r="C3" s="26" t="s">
        <v>37</v>
      </c>
      <c r="D3" s="26" t="s">
        <v>38</v>
      </c>
      <c r="E3" s="26" t="s">
        <v>39</v>
      </c>
      <c r="F3" s="27" t="s">
        <v>40</v>
      </c>
      <c r="G3" s="28"/>
      <c r="H3" s="28"/>
      <c r="I3" s="28"/>
      <c r="J3" s="29"/>
      <c r="K3" s="30" t="s">
        <v>41</v>
      </c>
      <c r="L3" s="26" t="s">
        <v>89</v>
      </c>
      <c r="M3" s="26"/>
      <c r="N3" s="26"/>
      <c r="O3" s="26"/>
      <c r="P3" s="26"/>
      <c r="Q3" s="26"/>
      <c r="R3" s="30" t="s">
        <v>53</v>
      </c>
      <c r="S3" s="30" t="s">
        <v>54</v>
      </c>
      <c r="T3" s="26" t="s">
        <v>55</v>
      </c>
      <c r="U3" s="26"/>
      <c r="V3" s="26"/>
    </row>
    <row r="4" spans="1:22" x14ac:dyDescent="0.2">
      <c r="A4" s="26"/>
      <c r="B4" s="26"/>
      <c r="C4" s="26"/>
      <c r="D4" s="26"/>
      <c r="E4" s="26"/>
      <c r="F4" s="16" t="s">
        <v>42</v>
      </c>
      <c r="G4" s="16" t="s">
        <v>43</v>
      </c>
      <c r="H4" s="16" t="s">
        <v>44</v>
      </c>
      <c r="I4" s="16" t="s">
        <v>45</v>
      </c>
      <c r="J4" s="16" t="s">
        <v>46</v>
      </c>
      <c r="K4" s="30"/>
      <c r="L4" s="16" t="s">
        <v>48</v>
      </c>
      <c r="M4" s="16" t="s">
        <v>47</v>
      </c>
      <c r="N4" s="16" t="s">
        <v>49</v>
      </c>
      <c r="O4" s="16" t="s">
        <v>50</v>
      </c>
      <c r="P4" s="16" t="s">
        <v>51</v>
      </c>
      <c r="Q4" s="16" t="s">
        <v>52</v>
      </c>
      <c r="R4" s="30"/>
      <c r="S4" s="30"/>
      <c r="T4" s="16" t="s">
        <v>56</v>
      </c>
      <c r="U4" s="16" t="s">
        <v>57</v>
      </c>
      <c r="V4" s="16" t="s">
        <v>58</v>
      </c>
    </row>
    <row r="5" spans="1:22" x14ac:dyDescent="0.2">
      <c r="A5" s="1" t="s">
        <v>59</v>
      </c>
      <c r="B5" s="1" t="s">
        <v>69</v>
      </c>
      <c r="C5" s="1" t="s">
        <v>78</v>
      </c>
      <c r="D5" s="15">
        <v>33272</v>
      </c>
      <c r="E5" s="1" t="s">
        <v>87</v>
      </c>
      <c r="F5" s="1">
        <f>IF(LEFT(A5,1)="1",2,IF(LEFT(A5,1)="2",1.5,IF(LEFT(A5,1)="3",1," ")))</f>
        <v>2</v>
      </c>
      <c r="G5" s="1" t="str">
        <f>IF(MID(A5,2,1)="1",2,IF(MID(A5,2,1)="2",1.5,IF(MID(A5,2,1)="3",1," ")))</f>
        <v xml:space="preserve"> </v>
      </c>
      <c r="H5" s="1" t="str">
        <f>IF(MID(A5,3,1)="1",2,IF(MID(A5,3,1)="2",1.5,IF(MID(A5,3,1)="3",1," ")))</f>
        <v xml:space="preserve"> </v>
      </c>
      <c r="I5" s="1">
        <f>IF(RIGHT(A5,2)="GI",2,IF(RIGHT(A5,2)="KH",1.5,IF(RIGHT(A5,2)="TB",1,"")))</f>
        <v>1</v>
      </c>
      <c r="J5" s="1">
        <f>IF(SUM(F5:I5)&lt;=5,SUM(F5:I5),"Quá 5")</f>
        <v>3</v>
      </c>
      <c r="K5" s="1">
        <f>IF(AND(E5="Nữ",YEAR(N17)-YEAR(D5)&lt;15),1,0)</f>
        <v>0</v>
      </c>
      <c r="L5" s="1">
        <v>6</v>
      </c>
      <c r="M5" s="1">
        <v>7</v>
      </c>
      <c r="N5" s="1">
        <v>8</v>
      </c>
      <c r="O5" s="1">
        <v>5</v>
      </c>
      <c r="P5" s="1">
        <v>5</v>
      </c>
      <c r="Q5" s="1">
        <v>5</v>
      </c>
      <c r="R5" s="1">
        <f>J5+K5+SUM(L5:Q5)</f>
        <v>39</v>
      </c>
      <c r="S5" s="1" t="str">
        <f>IF(AND(R5&gt;55,MIN(L5:Q5)&gt;7),"Giỏi",IF(AND(R5&gt;=45,R5&lt;55,MIN(L5:Q5)&gt;5),"Khá",IF(AND(R5&gt;=30,R5&lt;45,MIN(L5:Q5)&gt;3),"Trung Bình","Hỏng")))</f>
        <v>Trung Bình</v>
      </c>
      <c r="T5" s="1" t="str">
        <f>IF(AND(S5="Giỏi",MIN(L5,N5,O5)&gt;8,P5&gt;5),"X","")</f>
        <v/>
      </c>
      <c r="U5" s="12" t="str">
        <f>IF(AND(OR(S5="Giỏi",S5="Khá"),OR(M5&gt;7,Q5&gt;7),MIN(L5:Q5)&gt;5,T5&lt;&gt;"X"),"X","")</f>
        <v/>
      </c>
      <c r="V5" s="1" t="str">
        <f>IF(AND(T5&lt;&gt;"X",U5&lt;&gt;"X"),"X","")</f>
        <v>X</v>
      </c>
    </row>
    <row r="6" spans="1:22" x14ac:dyDescent="0.2">
      <c r="A6" s="1" t="s">
        <v>60</v>
      </c>
      <c r="B6" s="1" t="s">
        <v>70</v>
      </c>
      <c r="C6" s="1" t="s">
        <v>79</v>
      </c>
      <c r="D6" s="15">
        <v>33976</v>
      </c>
      <c r="E6" s="1" t="s">
        <v>88</v>
      </c>
      <c r="F6" s="1">
        <f t="shared" ref="F6:F14" si="0">IF(LEFT(A6,1)="1",2,IF(LEFT(A6,1)="2",1.5,IF(LEFT(A6,1)="3",1," ")))</f>
        <v>1.5</v>
      </c>
      <c r="G6" s="1">
        <f t="shared" ref="G6:G14" si="1">IF(MID(A6,2,1)="1",2,IF(MID(A6,2,1)="2",1.5,IF(MID(A6,2,1)="3",1," ")))</f>
        <v>1.5</v>
      </c>
      <c r="H6" s="1" t="str">
        <f t="shared" ref="H6:H14" si="2">IF(MID(A6,3,1)="1",2,IF(MID(A6,3,1)="2",1.5,IF(MID(A6,3,1)="3",1," ")))</f>
        <v xml:space="preserve"> </v>
      </c>
      <c r="I6" s="1">
        <f t="shared" ref="I6:I14" si="3">IF(RIGHT(A6,2)="GI",2,IF(RIGHT(A6,2)="KH",1.5,IF(RIGHT(A6,2)="TB",1,"")))</f>
        <v>1.5</v>
      </c>
      <c r="J6" s="1">
        <f t="shared" ref="J6:J14" si="4">IF(SUM(F6:I6)&lt;=5,SUM(F6:I6),"Quá 5")</f>
        <v>4.5</v>
      </c>
      <c r="K6" s="1">
        <f>IF(AND(E6="Nữ",YEAR(N17)-YEAR(D6)&lt;15),1,0)</f>
        <v>1</v>
      </c>
      <c r="L6" s="1">
        <v>10</v>
      </c>
      <c r="M6" s="1">
        <v>8</v>
      </c>
      <c r="N6" s="1">
        <v>9</v>
      </c>
      <c r="O6" s="1">
        <v>10</v>
      </c>
      <c r="P6" s="1">
        <v>9</v>
      </c>
      <c r="Q6" s="1">
        <v>9</v>
      </c>
      <c r="R6" s="1">
        <f>J6+K6+SUM(L6:Q6)</f>
        <v>60.5</v>
      </c>
      <c r="S6" s="1" t="str">
        <f>IF(AND(R6&gt;55,MIN(L6:Q6)&gt;7),"Giỏi",IF(AND(R6&gt;=45,R6&lt;55,MIN(L6:Q6)&gt;5),"Khá",IF(AND(R6&gt;=30,R6&lt;45,MIN(L6:Q6)&gt;3),"Trung Bình","Hỏng")))</f>
        <v>Giỏi</v>
      </c>
      <c r="T6" s="1" t="str">
        <f t="shared" ref="T6:T14" si="5">IF(AND(S6="Giỏi",MIN(L6,N6,O6)&gt;8,P6&gt;5),"X","")</f>
        <v>X</v>
      </c>
      <c r="U6" s="12" t="str">
        <f t="shared" ref="U6:U14" si="6">IF(AND(OR(S6="Giỏi",S6="Khá"),OR(M6&gt;7,Q6&gt;7),MIN(L6:Q6)&gt;5,T6&lt;&gt;"X"),"X","")</f>
        <v/>
      </c>
      <c r="V6" s="1" t="str">
        <f t="shared" ref="V6:V14" si="7">IF(AND(T6&lt;&gt;"X",U6&lt;&gt;"X"),"X","")</f>
        <v/>
      </c>
    </row>
    <row r="7" spans="1:22" x14ac:dyDescent="0.2">
      <c r="A7" s="1" t="s">
        <v>61</v>
      </c>
      <c r="B7" s="1" t="s">
        <v>71</v>
      </c>
      <c r="C7" s="1" t="s">
        <v>80</v>
      </c>
      <c r="D7" s="15">
        <v>34071</v>
      </c>
      <c r="E7" s="1" t="s">
        <v>87</v>
      </c>
      <c r="F7" s="1">
        <f t="shared" si="0"/>
        <v>1</v>
      </c>
      <c r="G7" s="1" t="str">
        <f t="shared" si="1"/>
        <v xml:space="preserve"> </v>
      </c>
      <c r="H7" s="1">
        <f t="shared" si="2"/>
        <v>2</v>
      </c>
      <c r="I7" s="1">
        <f t="shared" si="3"/>
        <v>2</v>
      </c>
      <c r="J7" s="1">
        <f t="shared" si="4"/>
        <v>5</v>
      </c>
      <c r="K7" s="1">
        <f>IF(AND(E7="Nữ",YEAR(N17)-YEAR(D7)&lt;15),1,0)</f>
        <v>0</v>
      </c>
      <c r="L7" s="1">
        <v>9</v>
      </c>
      <c r="M7" s="1">
        <v>8</v>
      </c>
      <c r="N7" s="1">
        <v>10</v>
      </c>
      <c r="O7" s="1">
        <v>9</v>
      </c>
      <c r="P7" s="1">
        <v>7</v>
      </c>
      <c r="Q7" s="1">
        <v>4</v>
      </c>
      <c r="R7" s="1">
        <f t="shared" ref="R6:R14" si="8">J7+K7+SUM(L7:Q7)</f>
        <v>52</v>
      </c>
      <c r="S7" s="1" t="str">
        <f>IF(AND(R7&gt;55,MIN(L7:Q7)&gt;7),"Giỏi",IF(AND(R7&gt;=45,R7&lt;55,MIN(L7:Q7)&gt;5),"Khá",IF(OR(R7&gt;=30,R7&lt;45,MIN(L7:Q7)&gt;3),"Trung Bình","Hỏng")))</f>
        <v>Trung Bình</v>
      </c>
      <c r="T7" s="1" t="str">
        <f t="shared" si="5"/>
        <v/>
      </c>
      <c r="U7" s="12" t="str">
        <f t="shared" si="6"/>
        <v/>
      </c>
      <c r="V7" s="1" t="str">
        <f t="shared" si="7"/>
        <v>X</v>
      </c>
    </row>
    <row r="8" spans="1:22" x14ac:dyDescent="0.2">
      <c r="A8" s="1" t="s">
        <v>62</v>
      </c>
      <c r="B8" s="1" t="s">
        <v>82</v>
      </c>
      <c r="C8" s="1" t="s">
        <v>81</v>
      </c>
      <c r="D8" s="15">
        <v>33666</v>
      </c>
      <c r="E8" s="1" t="s">
        <v>88</v>
      </c>
      <c r="F8" s="1">
        <f t="shared" si="0"/>
        <v>1.5</v>
      </c>
      <c r="G8" s="1" t="str">
        <f t="shared" si="1"/>
        <v xml:space="preserve"> </v>
      </c>
      <c r="H8" s="1">
        <f t="shared" si="2"/>
        <v>2</v>
      </c>
      <c r="I8" s="1">
        <f t="shared" si="3"/>
        <v>2</v>
      </c>
      <c r="J8" s="1" t="str">
        <f t="shared" si="4"/>
        <v>Quá 5</v>
      </c>
      <c r="K8" s="1">
        <f>IF(AND(E8="Nữ",YEAR(N17)-YEAR(D8)&lt;15),1,0)</f>
        <v>0</v>
      </c>
      <c r="L8" s="1">
        <v>7</v>
      </c>
      <c r="M8" s="1">
        <v>6</v>
      </c>
      <c r="N8" s="1">
        <v>8</v>
      </c>
      <c r="O8" s="1">
        <v>5</v>
      </c>
      <c r="P8" s="1">
        <v>4</v>
      </c>
      <c r="Q8" s="1">
        <v>6</v>
      </c>
      <c r="R8" s="1">
        <f>5+K8+SUM(L8:Q8)</f>
        <v>41</v>
      </c>
      <c r="S8" s="1" t="str">
        <f t="shared" ref="S6:S14" si="9">IF(AND(R8&gt;55,MIN(L8:Q8)&gt;7),"Giỏi",IF(AND(R8&gt;=45,R8&lt;55,MIN(L8:Q8)&gt;5),"Khá",IF(OR(R8&gt;=30,R8&lt;45,MIN(L8:Q8)&gt;3),"Trung Bình","Hỏng")))</f>
        <v>Trung Bình</v>
      </c>
      <c r="T8" s="1" t="str">
        <f t="shared" si="5"/>
        <v/>
      </c>
      <c r="U8" s="12" t="str">
        <f t="shared" si="6"/>
        <v/>
      </c>
      <c r="V8" s="1" t="str">
        <f t="shared" si="7"/>
        <v>X</v>
      </c>
    </row>
    <row r="9" spans="1:22" x14ac:dyDescent="0.2">
      <c r="A9" s="1" t="s">
        <v>63</v>
      </c>
      <c r="B9" s="1" t="s">
        <v>72</v>
      </c>
      <c r="C9" s="1" t="s">
        <v>83</v>
      </c>
      <c r="D9" s="15">
        <v>34129</v>
      </c>
      <c r="E9" s="1" t="s">
        <v>87</v>
      </c>
      <c r="F9" s="1" t="str">
        <f t="shared" si="0"/>
        <v xml:space="preserve"> </v>
      </c>
      <c r="G9" s="1" t="str">
        <f t="shared" si="1"/>
        <v xml:space="preserve"> </v>
      </c>
      <c r="H9" s="1">
        <f t="shared" si="2"/>
        <v>1</v>
      </c>
      <c r="I9" s="1">
        <f t="shared" si="3"/>
        <v>1.5</v>
      </c>
      <c r="J9" s="1">
        <f t="shared" si="4"/>
        <v>2.5</v>
      </c>
      <c r="K9" s="1">
        <f>IF(AND(E9="Nữ",YEAR(N17)-YEAR(D9)&lt;15),1,0)</f>
        <v>0</v>
      </c>
      <c r="L9" s="1">
        <v>9</v>
      </c>
      <c r="M9" s="1">
        <v>9</v>
      </c>
      <c r="N9" s="1">
        <v>8</v>
      </c>
      <c r="O9" s="1">
        <v>8</v>
      </c>
      <c r="P9" s="1">
        <v>6</v>
      </c>
      <c r="Q9" s="1">
        <v>6</v>
      </c>
      <c r="R9" s="1">
        <f>J9+K9+SUM(L9:Q9)</f>
        <v>48.5</v>
      </c>
      <c r="S9" s="1" t="str">
        <f t="shared" si="9"/>
        <v>Khá</v>
      </c>
      <c r="T9" s="1" t="str">
        <f t="shared" si="5"/>
        <v/>
      </c>
      <c r="U9" s="12" t="str">
        <f t="shared" si="6"/>
        <v>X</v>
      </c>
      <c r="V9" s="1" t="str">
        <f t="shared" si="7"/>
        <v/>
      </c>
    </row>
    <row r="10" spans="1:22" x14ac:dyDescent="0.2">
      <c r="A10" s="1" t="s">
        <v>64</v>
      </c>
      <c r="B10" s="1" t="s">
        <v>73</v>
      </c>
      <c r="C10" s="1" t="s">
        <v>84</v>
      </c>
      <c r="D10" s="15">
        <v>33394</v>
      </c>
      <c r="E10" s="1" t="s">
        <v>87</v>
      </c>
      <c r="F10" s="1" t="str">
        <f t="shared" si="0"/>
        <v xml:space="preserve"> </v>
      </c>
      <c r="G10" s="1" t="str">
        <f t="shared" si="1"/>
        <v xml:space="preserve"> </v>
      </c>
      <c r="H10" s="1" t="str">
        <f t="shared" si="2"/>
        <v xml:space="preserve"> </v>
      </c>
      <c r="I10" s="1">
        <f t="shared" si="3"/>
        <v>1</v>
      </c>
      <c r="J10" s="1">
        <f t="shared" si="4"/>
        <v>1</v>
      </c>
      <c r="K10" s="1">
        <f>IF(AND(E10="Nữ",YEAR(N17)-YEAR(D10)&lt;15),1,0)</f>
        <v>0</v>
      </c>
      <c r="L10" s="1">
        <v>6</v>
      </c>
      <c r="M10" s="1">
        <v>4</v>
      </c>
      <c r="N10" s="1">
        <v>7</v>
      </c>
      <c r="O10" s="1">
        <v>5</v>
      </c>
      <c r="P10" s="1">
        <v>8</v>
      </c>
      <c r="Q10" s="1">
        <v>8</v>
      </c>
      <c r="R10" s="1">
        <f t="shared" si="8"/>
        <v>39</v>
      </c>
      <c r="S10" s="1" t="str">
        <f t="shared" si="9"/>
        <v>Trung Bình</v>
      </c>
      <c r="T10" s="1" t="str">
        <f t="shared" si="5"/>
        <v/>
      </c>
      <c r="U10" s="12" t="str">
        <f t="shared" si="6"/>
        <v/>
      </c>
      <c r="V10" s="1" t="str">
        <f t="shared" si="7"/>
        <v>X</v>
      </c>
    </row>
    <row r="11" spans="1:22" x14ac:dyDescent="0.2">
      <c r="A11" s="1" t="s">
        <v>65</v>
      </c>
      <c r="B11" s="1" t="s">
        <v>74</v>
      </c>
      <c r="C11" s="1" t="s">
        <v>85</v>
      </c>
      <c r="D11" s="15">
        <v>33587</v>
      </c>
      <c r="E11" s="1" t="s">
        <v>88</v>
      </c>
      <c r="F11" s="1" t="str">
        <f t="shared" si="0"/>
        <v xml:space="preserve"> </v>
      </c>
      <c r="G11" s="1" t="str">
        <f t="shared" si="1"/>
        <v xml:space="preserve"> </v>
      </c>
      <c r="H11" s="1" t="str">
        <f t="shared" si="2"/>
        <v xml:space="preserve"> </v>
      </c>
      <c r="I11" s="1" t="str">
        <f t="shared" si="3"/>
        <v/>
      </c>
      <c r="J11" s="1">
        <f t="shared" si="4"/>
        <v>0</v>
      </c>
      <c r="K11" s="1">
        <f>IF(AND(E11="Nữ",YEAR(N17)-YEAR(D11)&lt;15),1,0)</f>
        <v>0</v>
      </c>
      <c r="L11" s="1">
        <v>8</v>
      </c>
      <c r="M11" s="1">
        <v>9</v>
      </c>
      <c r="N11" s="1">
        <v>6</v>
      </c>
      <c r="O11" s="1">
        <v>9</v>
      </c>
      <c r="P11" s="1">
        <v>10</v>
      </c>
      <c r="Q11" s="1">
        <v>8</v>
      </c>
      <c r="R11" s="1">
        <f t="shared" si="8"/>
        <v>50</v>
      </c>
      <c r="S11" s="1" t="str">
        <f t="shared" si="9"/>
        <v>Khá</v>
      </c>
      <c r="T11" s="1" t="str">
        <f t="shared" si="5"/>
        <v/>
      </c>
      <c r="U11" s="12" t="str">
        <f t="shared" si="6"/>
        <v>X</v>
      </c>
      <c r="V11" s="1" t="str">
        <f t="shared" si="7"/>
        <v/>
      </c>
    </row>
    <row r="12" spans="1:22" x14ac:dyDescent="0.2">
      <c r="A12" s="1" t="s">
        <v>66</v>
      </c>
      <c r="B12" s="1" t="s">
        <v>75</v>
      </c>
      <c r="C12" s="1" t="s">
        <v>78</v>
      </c>
      <c r="D12" s="15">
        <v>33671</v>
      </c>
      <c r="E12" s="1" t="s">
        <v>87</v>
      </c>
      <c r="F12" s="1" t="str">
        <f t="shared" si="0"/>
        <v xml:space="preserve"> </v>
      </c>
      <c r="G12" s="1">
        <f t="shared" si="1"/>
        <v>2</v>
      </c>
      <c r="H12" s="1">
        <f t="shared" si="2"/>
        <v>2</v>
      </c>
      <c r="I12" s="1" t="str">
        <f t="shared" si="3"/>
        <v/>
      </c>
      <c r="J12" s="1">
        <f t="shared" si="4"/>
        <v>4</v>
      </c>
      <c r="K12" s="1">
        <f>IF(AND(E12="Nữ",YEAR(N17)-YEAR(D12)&lt;15),1,0)</f>
        <v>0</v>
      </c>
      <c r="L12" s="1">
        <v>2</v>
      </c>
      <c r="M12" s="1">
        <v>4</v>
      </c>
      <c r="N12" s="1">
        <v>8</v>
      </c>
      <c r="O12" s="1">
        <v>5</v>
      </c>
      <c r="P12" s="1">
        <v>9</v>
      </c>
      <c r="Q12" s="1">
        <v>10</v>
      </c>
      <c r="R12" s="1">
        <f t="shared" si="8"/>
        <v>42</v>
      </c>
      <c r="S12" s="1" t="str">
        <f>IF(AND(R12&gt;55,MIN(L12:Q12)&gt;7),"Giỏi",IF(AND(R12&gt;=45,R12&lt;55,MIN(L12:Q12)&gt;5),"Khá",IF(AND(R12&gt;=30,R12&lt;45,MIN(L12:Q12)&gt;3),"Trung Bình","Hỏng")))</f>
        <v>Hỏng</v>
      </c>
      <c r="T12" s="1" t="str">
        <f t="shared" si="5"/>
        <v/>
      </c>
      <c r="U12" s="12" t="str">
        <f t="shared" si="6"/>
        <v/>
      </c>
      <c r="V12" s="1" t="str">
        <f t="shared" si="7"/>
        <v>X</v>
      </c>
    </row>
    <row r="13" spans="1:22" x14ac:dyDescent="0.2">
      <c r="A13" s="1" t="s">
        <v>67</v>
      </c>
      <c r="B13" s="1" t="s">
        <v>76</v>
      </c>
      <c r="C13" s="1" t="s">
        <v>86</v>
      </c>
      <c r="D13" s="15">
        <v>33533</v>
      </c>
      <c r="E13" s="1" t="s">
        <v>88</v>
      </c>
      <c r="F13" s="1">
        <f t="shared" si="0"/>
        <v>2</v>
      </c>
      <c r="G13" s="1">
        <f t="shared" si="1"/>
        <v>1.5</v>
      </c>
      <c r="H13" s="1">
        <f t="shared" si="2"/>
        <v>1</v>
      </c>
      <c r="I13" s="1">
        <f>IF(RIGHT(A13,2)="GI",2,IF(RIGHT(A13,2)="KH",1.5,IF(RIGHT(A13,2)="TB",1,"")))</f>
        <v>1.5</v>
      </c>
      <c r="J13" s="1" t="str">
        <f t="shared" si="4"/>
        <v>Quá 5</v>
      </c>
      <c r="K13" s="1">
        <f>IF(AND(E13="Nữ",YEAR(N17)-YEAR(D13)&lt;15),1,0)</f>
        <v>0</v>
      </c>
      <c r="L13" s="1">
        <v>5</v>
      </c>
      <c r="M13" s="1">
        <v>4</v>
      </c>
      <c r="N13" s="1">
        <v>7</v>
      </c>
      <c r="O13" s="1">
        <v>9</v>
      </c>
      <c r="P13" s="1">
        <v>8</v>
      </c>
      <c r="Q13" s="1">
        <v>10</v>
      </c>
      <c r="R13" s="1">
        <f>5+K13+SUM(L13:Q13)</f>
        <v>48</v>
      </c>
      <c r="S13" s="1" t="str">
        <f>IF(AND(R13&gt;55,MIN(L13:Q13)&gt;7),"Giỏi",IF(AND(R13&gt;=45,R13&lt;55,MIN(L13:Q13)&gt;5),"Khá",IF(OR(R13&gt;=30,R13&lt;45,MIN(L13:Q13)&gt;3),"Trung Bình","Hỏng")))</f>
        <v>Trung Bình</v>
      </c>
      <c r="T13" s="1" t="str">
        <f t="shared" si="5"/>
        <v/>
      </c>
      <c r="U13" s="12" t="str">
        <f t="shared" si="6"/>
        <v/>
      </c>
      <c r="V13" s="1" t="str">
        <f t="shared" si="7"/>
        <v>X</v>
      </c>
    </row>
    <row r="14" spans="1:22" x14ac:dyDescent="0.2">
      <c r="A14" s="1" t="s">
        <v>68</v>
      </c>
      <c r="B14" s="1" t="s">
        <v>77</v>
      </c>
      <c r="C14" s="1" t="s">
        <v>84</v>
      </c>
      <c r="D14" s="15">
        <v>33553</v>
      </c>
      <c r="E14" s="1" t="s">
        <v>87</v>
      </c>
      <c r="F14" s="1" t="str">
        <f t="shared" si="0"/>
        <v xml:space="preserve"> </v>
      </c>
      <c r="G14" s="1">
        <f t="shared" si="1"/>
        <v>1</v>
      </c>
      <c r="H14" s="1" t="str">
        <f t="shared" si="2"/>
        <v xml:space="preserve"> </v>
      </c>
      <c r="I14" s="1">
        <f t="shared" si="3"/>
        <v>1</v>
      </c>
      <c r="J14" s="1">
        <f t="shared" si="4"/>
        <v>2</v>
      </c>
      <c r="K14" s="1">
        <f>IF(AND(E14="Nữ",YEAR(N17)-YEAR(D14)&lt;15),1,0)</f>
        <v>0</v>
      </c>
      <c r="L14" s="1">
        <v>10</v>
      </c>
      <c r="M14" s="1">
        <v>7</v>
      </c>
      <c r="N14" s="1">
        <v>8</v>
      </c>
      <c r="O14" s="1">
        <v>8</v>
      </c>
      <c r="P14" s="1">
        <v>10</v>
      </c>
      <c r="Q14" s="1">
        <v>7</v>
      </c>
      <c r="R14" s="1">
        <f t="shared" si="8"/>
        <v>52</v>
      </c>
      <c r="S14" s="1" t="str">
        <f>IF(AND(R14&gt;55,MIN(L14:Q14)&gt;7),"Giỏi",IF(AND(R14&gt;=45,R14&lt;55,MIN(L14:Q14)&gt;5),"Khá",IF(AND(R14&gt;=30,R14&lt;45,MIN(L14:Q14)&gt;3),"Trung Bình","Hỏng")))</f>
        <v>Khá</v>
      </c>
      <c r="T14" s="1" t="str">
        <f t="shared" si="5"/>
        <v/>
      </c>
      <c r="U14" s="12" t="str">
        <f t="shared" si="6"/>
        <v/>
      </c>
      <c r="V14" s="1" t="str">
        <f t="shared" si="7"/>
        <v>X</v>
      </c>
    </row>
    <row r="17" spans="1:15" x14ac:dyDescent="0.2">
      <c r="A17" s="12" t="s">
        <v>213</v>
      </c>
      <c r="B17" s="12" t="s">
        <v>56</v>
      </c>
      <c r="C17" s="12" t="s">
        <v>57</v>
      </c>
      <c r="D17" s="12" t="s">
        <v>58</v>
      </c>
      <c r="E17" s="12" t="s">
        <v>96</v>
      </c>
      <c r="M17" t="s">
        <v>206</v>
      </c>
      <c r="N17" s="38">
        <v>39132</v>
      </c>
      <c r="O17" s="38"/>
    </row>
    <row r="18" spans="1:15" x14ac:dyDescent="0.2">
      <c r="A18" s="12" t="s">
        <v>214</v>
      </c>
      <c r="B18" s="12">
        <f>COUNTIF($T$5:$T$14,"X")</f>
        <v>1</v>
      </c>
      <c r="C18" s="12">
        <f>COUNTIF($U$5:$U$14,"X")</f>
        <v>2</v>
      </c>
      <c r="D18" s="12">
        <f>COUNTIF($V$5:$V$14,"X")</f>
        <v>7</v>
      </c>
      <c r="E18" s="12">
        <f>SUM(B18:D18)</f>
        <v>10</v>
      </c>
    </row>
    <row r="19" spans="1:15" x14ac:dyDescent="0.2">
      <c r="A19" s="12" t="s">
        <v>215</v>
      </c>
      <c r="B19" s="47">
        <v>0.1</v>
      </c>
      <c r="C19" s="47">
        <v>0.2</v>
      </c>
      <c r="D19" s="47">
        <v>0.7</v>
      </c>
      <c r="E19" s="47">
        <f>SUM(B19:D19)</f>
        <v>1</v>
      </c>
    </row>
  </sheetData>
  <mergeCells count="12">
    <mergeCell ref="N17:O17"/>
    <mergeCell ref="A3:A4"/>
    <mergeCell ref="B3:B4"/>
    <mergeCell ref="C3:C4"/>
    <mergeCell ref="D3:D4"/>
    <mergeCell ref="E3:E4"/>
    <mergeCell ref="L3:Q3"/>
    <mergeCell ref="F3:J3"/>
    <mergeCell ref="T3:V3"/>
    <mergeCell ref="R3:R4"/>
    <mergeCell ref="S3:S4"/>
    <mergeCell ref="K3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66BB-5602-47BE-9F47-CD3A8E47A6E3}">
  <dimension ref="A1:J33"/>
  <sheetViews>
    <sheetView topLeftCell="A3" workbookViewId="0">
      <selection activeCell="G6" sqref="G6"/>
    </sheetView>
  </sheetViews>
  <sheetFormatPr baseColWidth="10" defaultColWidth="8.83203125" defaultRowHeight="15" x14ac:dyDescent="0.2"/>
  <cols>
    <col min="1" max="1" width="13.5" bestFit="1" customWidth="1"/>
    <col min="2" max="2" width="7.6640625" bestFit="1" customWidth="1"/>
  </cols>
  <sheetData>
    <row r="1" spans="1:10" x14ac:dyDescent="0.2">
      <c r="A1" s="31" t="s">
        <v>90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x14ac:dyDescent="0.2">
      <c r="A2" s="31" t="s">
        <v>91</v>
      </c>
      <c r="B2" s="31"/>
      <c r="C2" s="31"/>
      <c r="D2" s="31"/>
      <c r="E2" s="31"/>
      <c r="F2" s="31"/>
      <c r="G2" s="31"/>
      <c r="H2" s="31"/>
      <c r="I2" s="31"/>
      <c r="J2" s="31"/>
    </row>
    <row r="4" spans="1:10" x14ac:dyDescent="0.2">
      <c r="A4" s="11" t="s">
        <v>92</v>
      </c>
      <c r="B4" s="11" t="s">
        <v>115</v>
      </c>
      <c r="C4" s="11" t="s">
        <v>116</v>
      </c>
      <c r="D4" s="11" t="s">
        <v>120</v>
      </c>
      <c r="E4" s="11" t="s">
        <v>123</v>
      </c>
      <c r="F4" s="11" t="s">
        <v>124</v>
      </c>
      <c r="G4" s="11" t="s">
        <v>125</v>
      </c>
      <c r="H4" s="11" t="s">
        <v>126</v>
      </c>
      <c r="I4" s="11" t="s">
        <v>127</v>
      </c>
      <c r="J4" s="12" t="s">
        <v>128</v>
      </c>
    </row>
    <row r="5" spans="1:10" x14ac:dyDescent="0.2">
      <c r="A5" s="1" t="s">
        <v>93</v>
      </c>
      <c r="B5" s="1"/>
      <c r="C5" s="1"/>
      <c r="D5" s="1" t="s">
        <v>121</v>
      </c>
      <c r="E5" s="1"/>
      <c r="F5" s="1"/>
      <c r="G5" s="1"/>
      <c r="H5" s="1"/>
      <c r="I5" s="1"/>
      <c r="J5" s="1"/>
    </row>
    <row r="6" spans="1:10" x14ac:dyDescent="0.2">
      <c r="A6" s="1">
        <v>1</v>
      </c>
      <c r="B6" s="1" t="s">
        <v>97</v>
      </c>
      <c r="C6" s="1" t="s">
        <v>117</v>
      </c>
      <c r="D6" s="1">
        <v>160</v>
      </c>
      <c r="E6" s="1">
        <v>24</v>
      </c>
      <c r="F6" s="1">
        <f>D6*E6</f>
        <v>3840</v>
      </c>
      <c r="G6" s="1"/>
      <c r="H6" s="1"/>
      <c r="I6" s="1">
        <v>100000</v>
      </c>
      <c r="J6" s="1"/>
    </row>
    <row r="7" spans="1:10" x14ac:dyDescent="0.2">
      <c r="A7" s="1">
        <v>2</v>
      </c>
      <c r="B7" s="1" t="s">
        <v>98</v>
      </c>
      <c r="C7" s="1" t="s">
        <v>118</v>
      </c>
      <c r="D7" s="1">
        <v>165</v>
      </c>
      <c r="E7" s="1">
        <v>22</v>
      </c>
      <c r="F7" s="1">
        <f t="shared" ref="F7:F10" si="0">D7*E7</f>
        <v>3630</v>
      </c>
      <c r="G7" s="1"/>
      <c r="H7" s="1"/>
      <c r="I7" s="1">
        <v>100000</v>
      </c>
      <c r="J7" s="1"/>
    </row>
    <row r="8" spans="1:10" x14ac:dyDescent="0.2">
      <c r="A8" s="1">
        <v>3</v>
      </c>
      <c r="B8" s="1" t="s">
        <v>99</v>
      </c>
      <c r="C8" s="1" t="s">
        <v>119</v>
      </c>
      <c r="D8" s="1">
        <v>160</v>
      </c>
      <c r="E8" s="1">
        <v>24</v>
      </c>
      <c r="F8" s="1">
        <f t="shared" si="0"/>
        <v>3840</v>
      </c>
      <c r="G8" s="1"/>
      <c r="H8" s="1"/>
      <c r="I8" s="1"/>
      <c r="J8" s="1"/>
    </row>
    <row r="9" spans="1:10" x14ac:dyDescent="0.2">
      <c r="A9" s="1">
        <v>4</v>
      </c>
      <c r="B9" s="1" t="s">
        <v>100</v>
      </c>
      <c r="C9" s="1" t="s">
        <v>119</v>
      </c>
      <c r="D9" s="1">
        <v>170</v>
      </c>
      <c r="E9" s="1">
        <v>23</v>
      </c>
      <c r="F9" s="1">
        <f t="shared" si="0"/>
        <v>3910</v>
      </c>
      <c r="G9" s="1"/>
      <c r="H9" s="1"/>
      <c r="I9" s="1">
        <v>100000</v>
      </c>
      <c r="J9" s="1"/>
    </row>
    <row r="10" spans="1:10" x14ac:dyDescent="0.2">
      <c r="A10" s="1">
        <v>5</v>
      </c>
      <c r="B10" s="1" t="s">
        <v>101</v>
      </c>
      <c r="C10" s="1" t="s">
        <v>119</v>
      </c>
      <c r="D10" s="1">
        <v>160</v>
      </c>
      <c r="E10" s="1">
        <v>24</v>
      </c>
      <c r="F10" s="1">
        <f t="shared" si="0"/>
        <v>3840</v>
      </c>
      <c r="G10" s="1"/>
      <c r="H10" s="1"/>
      <c r="I10" s="1"/>
      <c r="J10" s="1"/>
    </row>
    <row r="11" spans="1:10" x14ac:dyDescent="0.2">
      <c r="A11" s="1" t="s">
        <v>94</v>
      </c>
      <c r="B11" s="1"/>
      <c r="C11" s="1"/>
      <c r="D11" s="1" t="s">
        <v>117</v>
      </c>
      <c r="E11" s="1"/>
      <c r="F11" s="1"/>
      <c r="G11" s="1"/>
      <c r="H11" s="1"/>
      <c r="I11" s="1"/>
      <c r="J11" s="1"/>
    </row>
    <row r="12" spans="1:10" x14ac:dyDescent="0.2">
      <c r="A12" s="1">
        <v>1</v>
      </c>
      <c r="B12" s="1" t="s">
        <v>102</v>
      </c>
      <c r="C12" s="1" t="s">
        <v>117</v>
      </c>
      <c r="D12" s="1">
        <v>190</v>
      </c>
      <c r="E12" s="1">
        <v>26</v>
      </c>
      <c r="F12" s="1">
        <f>D12*E12</f>
        <v>4940</v>
      </c>
      <c r="G12" s="1"/>
      <c r="H12" s="1"/>
      <c r="I12" s="1">
        <v>100000</v>
      </c>
      <c r="J12" s="1"/>
    </row>
    <row r="13" spans="1:10" x14ac:dyDescent="0.2">
      <c r="A13" s="1">
        <v>2</v>
      </c>
      <c r="B13" s="1" t="s">
        <v>103</v>
      </c>
      <c r="C13" s="1" t="s">
        <v>118</v>
      </c>
      <c r="D13" s="1">
        <v>190</v>
      </c>
      <c r="E13" s="1">
        <v>27</v>
      </c>
      <c r="F13" s="1">
        <f t="shared" ref="F13:F21" si="1">D13*E13</f>
        <v>5130</v>
      </c>
      <c r="G13" s="1"/>
      <c r="H13" s="1"/>
      <c r="I13" s="1">
        <v>100000</v>
      </c>
      <c r="J13" s="1"/>
    </row>
    <row r="14" spans="1:10" x14ac:dyDescent="0.2">
      <c r="A14" s="1">
        <v>3</v>
      </c>
      <c r="B14" s="1" t="s">
        <v>104</v>
      </c>
      <c r="C14" s="1" t="s">
        <v>119</v>
      </c>
      <c r="D14" s="1">
        <v>200</v>
      </c>
      <c r="E14" s="1">
        <v>25</v>
      </c>
      <c r="F14" s="1">
        <f t="shared" si="1"/>
        <v>5000</v>
      </c>
      <c r="G14" s="1"/>
      <c r="H14" s="1"/>
      <c r="I14" s="1"/>
      <c r="J14" s="1"/>
    </row>
    <row r="15" spans="1:10" x14ac:dyDescent="0.2">
      <c r="A15" s="1">
        <v>4</v>
      </c>
      <c r="B15" s="1" t="s">
        <v>105</v>
      </c>
      <c r="C15" s="1" t="s">
        <v>119</v>
      </c>
      <c r="D15" s="1">
        <v>210</v>
      </c>
      <c r="E15" s="1">
        <v>26</v>
      </c>
      <c r="F15" s="1">
        <f t="shared" si="1"/>
        <v>5460</v>
      </c>
      <c r="G15" s="1"/>
      <c r="H15" s="1"/>
      <c r="I15" s="1">
        <v>100000</v>
      </c>
      <c r="J15" s="1"/>
    </row>
    <row r="16" spans="1:10" x14ac:dyDescent="0.2">
      <c r="A16" s="1">
        <v>5</v>
      </c>
      <c r="B16" s="1" t="s">
        <v>106</v>
      </c>
      <c r="C16" s="1" t="s">
        <v>119</v>
      </c>
      <c r="D16" s="1">
        <v>190</v>
      </c>
      <c r="E16" s="1">
        <v>24</v>
      </c>
      <c r="F16" s="1">
        <f t="shared" si="1"/>
        <v>4560</v>
      </c>
      <c r="G16" s="1"/>
      <c r="H16" s="1"/>
      <c r="I16" s="1">
        <v>100000</v>
      </c>
      <c r="J16" s="1"/>
    </row>
    <row r="17" spans="1:10" x14ac:dyDescent="0.2">
      <c r="A17" s="1">
        <v>6</v>
      </c>
      <c r="B17" s="1" t="s">
        <v>107</v>
      </c>
      <c r="C17" s="1" t="s">
        <v>119</v>
      </c>
      <c r="D17" s="1">
        <v>185</v>
      </c>
      <c r="E17" s="1">
        <v>24</v>
      </c>
      <c r="F17" s="1">
        <f t="shared" si="1"/>
        <v>4440</v>
      </c>
      <c r="G17" s="1"/>
      <c r="H17" s="1"/>
      <c r="I17" s="1">
        <v>100000</v>
      </c>
      <c r="J17" s="1"/>
    </row>
    <row r="18" spans="1:10" x14ac:dyDescent="0.2">
      <c r="A18" s="1">
        <v>7</v>
      </c>
      <c r="B18" s="1" t="s">
        <v>111</v>
      </c>
      <c r="C18" s="1" t="s">
        <v>119</v>
      </c>
      <c r="D18" s="1">
        <v>190</v>
      </c>
      <c r="E18" s="1">
        <v>25</v>
      </c>
      <c r="F18" s="1">
        <f t="shared" si="1"/>
        <v>4750</v>
      </c>
      <c r="G18" s="1"/>
      <c r="H18" s="1"/>
      <c r="I18" s="1"/>
      <c r="J18" s="1"/>
    </row>
    <row r="19" spans="1:10" x14ac:dyDescent="0.2">
      <c r="A19" s="1">
        <v>8</v>
      </c>
      <c r="B19" s="1" t="s">
        <v>108</v>
      </c>
      <c r="C19" s="1" t="s">
        <v>119</v>
      </c>
      <c r="D19" s="1">
        <v>200</v>
      </c>
      <c r="E19" s="1">
        <v>26</v>
      </c>
      <c r="F19" s="1">
        <f t="shared" si="1"/>
        <v>5200</v>
      </c>
      <c r="G19" s="1"/>
      <c r="H19" s="1"/>
      <c r="I19" s="1"/>
      <c r="J19" s="1"/>
    </row>
    <row r="20" spans="1:10" x14ac:dyDescent="0.2">
      <c r="A20" s="1">
        <v>9</v>
      </c>
      <c r="B20" s="1" t="s">
        <v>109</v>
      </c>
      <c r="C20" s="1" t="s">
        <v>119</v>
      </c>
      <c r="D20" s="1">
        <v>210</v>
      </c>
      <c r="E20" s="1">
        <v>28</v>
      </c>
      <c r="F20" s="1">
        <f t="shared" si="1"/>
        <v>5880</v>
      </c>
      <c r="G20" s="1"/>
      <c r="H20" s="1"/>
      <c r="I20" s="1"/>
      <c r="J20" s="1"/>
    </row>
    <row r="21" spans="1:10" x14ac:dyDescent="0.2">
      <c r="A21" s="1">
        <v>10</v>
      </c>
      <c r="B21" s="1" t="s">
        <v>110</v>
      </c>
      <c r="C21" s="1" t="s">
        <v>119</v>
      </c>
      <c r="D21" s="1">
        <v>220</v>
      </c>
      <c r="E21" s="1">
        <v>28</v>
      </c>
      <c r="F21" s="1">
        <f t="shared" si="1"/>
        <v>6160</v>
      </c>
      <c r="G21" s="1"/>
      <c r="H21" s="1"/>
      <c r="I21" s="1">
        <v>100000</v>
      </c>
      <c r="J21" s="1"/>
    </row>
    <row r="22" spans="1:10" x14ac:dyDescent="0.2">
      <c r="A22" s="1" t="s">
        <v>95</v>
      </c>
      <c r="B22" s="1"/>
      <c r="C22" s="1"/>
      <c r="D22" s="1" t="s">
        <v>122</v>
      </c>
      <c r="E22" s="1"/>
      <c r="F22" s="1"/>
      <c r="G22" s="1"/>
      <c r="H22" s="1"/>
      <c r="I22" s="1"/>
      <c r="J22" s="1"/>
    </row>
    <row r="23" spans="1:10" x14ac:dyDescent="0.2">
      <c r="A23" s="1">
        <v>1</v>
      </c>
      <c r="B23" s="1" t="s">
        <v>112</v>
      </c>
      <c r="C23" s="1" t="s">
        <v>119</v>
      </c>
      <c r="D23" s="1">
        <v>175</v>
      </c>
      <c r="E23" s="1">
        <v>24</v>
      </c>
      <c r="F23" s="1">
        <f>D23*E23</f>
        <v>4200</v>
      </c>
      <c r="G23" s="1"/>
      <c r="H23" s="1"/>
      <c r="I23" s="1"/>
      <c r="J23" s="1"/>
    </row>
    <row r="24" spans="1:10" x14ac:dyDescent="0.2">
      <c r="A24" s="1">
        <v>2</v>
      </c>
      <c r="B24" s="1" t="s">
        <v>113</v>
      </c>
      <c r="C24" s="1" t="s">
        <v>119</v>
      </c>
      <c r="D24" s="1">
        <v>170</v>
      </c>
      <c r="E24" s="1">
        <v>24</v>
      </c>
      <c r="F24" s="1">
        <f t="shared" ref="F24:F25" si="2">D24*E24</f>
        <v>4080</v>
      </c>
      <c r="G24" s="1"/>
      <c r="H24" s="1"/>
      <c r="I24" s="1"/>
      <c r="J24" s="1"/>
    </row>
    <row r="25" spans="1:10" x14ac:dyDescent="0.2">
      <c r="A25" s="1">
        <v>3</v>
      </c>
      <c r="B25" s="1" t="s">
        <v>114</v>
      </c>
      <c r="C25" s="1" t="s">
        <v>119</v>
      </c>
      <c r="D25" s="1">
        <v>170</v>
      </c>
      <c r="E25" s="1">
        <v>23</v>
      </c>
      <c r="F25" s="1">
        <f t="shared" si="2"/>
        <v>3910</v>
      </c>
      <c r="G25" s="1"/>
      <c r="H25" s="1"/>
      <c r="I25" s="1"/>
      <c r="J25" s="1"/>
    </row>
    <row r="26" spans="1:10" x14ac:dyDescent="0.2">
      <c r="A26" s="17" t="s">
        <v>96</v>
      </c>
      <c r="B26" s="1"/>
      <c r="C26" s="1"/>
      <c r="D26" s="1"/>
      <c r="E26" s="1"/>
      <c r="F26" s="1"/>
      <c r="G26" s="1"/>
      <c r="H26" s="1"/>
      <c r="I26" s="1"/>
      <c r="J26" s="1"/>
    </row>
    <row r="28" spans="1:10" x14ac:dyDescent="0.2">
      <c r="A28" s="18" t="s">
        <v>129</v>
      </c>
      <c r="B28" t="s">
        <v>130</v>
      </c>
    </row>
    <row r="29" spans="1:10" x14ac:dyDescent="0.2">
      <c r="B29" s="18" t="s">
        <v>131</v>
      </c>
    </row>
    <row r="30" spans="1:10" x14ac:dyDescent="0.2">
      <c r="B30" s="1"/>
      <c r="C30" s="1" t="s">
        <v>207</v>
      </c>
      <c r="D30" s="1" t="s">
        <v>119</v>
      </c>
    </row>
    <row r="31" spans="1:10" x14ac:dyDescent="0.2">
      <c r="B31" s="1" t="s">
        <v>122</v>
      </c>
      <c r="C31" s="1">
        <v>30</v>
      </c>
      <c r="D31" s="1">
        <v>27</v>
      </c>
    </row>
    <row r="32" spans="1:10" x14ac:dyDescent="0.2">
      <c r="B32" s="1" t="s">
        <v>121</v>
      </c>
      <c r="C32" s="1">
        <v>25</v>
      </c>
      <c r="D32" s="1">
        <v>23</v>
      </c>
    </row>
    <row r="33" spans="2:4" x14ac:dyDescent="0.2">
      <c r="B33" s="1" t="s">
        <v>117</v>
      </c>
      <c r="C33" s="1">
        <v>20</v>
      </c>
      <c r="D33" s="1">
        <v>21</v>
      </c>
    </row>
  </sheetData>
  <mergeCells count="2">
    <mergeCell ref="A1:J1"/>
    <mergeCell ref="A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C52D2-7F71-9247-ADEC-EE3C5B9DF197}">
  <dimension ref="A1:I21"/>
  <sheetViews>
    <sheetView zoomScale="133" workbookViewId="0">
      <selection activeCell="H7" sqref="H7"/>
    </sheetView>
  </sheetViews>
  <sheetFormatPr baseColWidth="10" defaultColWidth="8.83203125" defaultRowHeight="15" x14ac:dyDescent="0.2"/>
  <cols>
    <col min="1" max="1" width="9" bestFit="1" customWidth="1"/>
    <col min="2" max="2" width="11" customWidth="1"/>
    <col min="3" max="3" width="16.5" customWidth="1"/>
    <col min="4" max="4" width="14.5" customWidth="1"/>
    <col min="5" max="7" width="9" bestFit="1" customWidth="1"/>
    <col min="8" max="8" width="10.5" customWidth="1"/>
    <col min="9" max="9" width="9.1640625" bestFit="1" customWidth="1"/>
  </cols>
  <sheetData>
    <row r="1" spans="1:9" x14ac:dyDescent="0.2">
      <c r="F1" s="46" t="s">
        <v>212</v>
      </c>
      <c r="I1" s="45">
        <v>1500000</v>
      </c>
    </row>
    <row r="2" spans="1:9" x14ac:dyDescent="0.2">
      <c r="F2" t="s">
        <v>173</v>
      </c>
      <c r="I2" s="1">
        <f>SUMIF(F5:F14,"&gt;22")</f>
        <v>148</v>
      </c>
    </row>
    <row r="4" spans="1:9" x14ac:dyDescent="0.2">
      <c r="A4" s="12" t="s">
        <v>92</v>
      </c>
      <c r="B4" s="12" t="s">
        <v>132</v>
      </c>
      <c r="C4" s="12" t="s">
        <v>143</v>
      </c>
      <c r="D4" s="12" t="s">
        <v>152</v>
      </c>
      <c r="E4" s="12" t="s">
        <v>153</v>
      </c>
      <c r="F4" s="12" t="s">
        <v>154</v>
      </c>
      <c r="G4" s="12" t="s">
        <v>124</v>
      </c>
      <c r="H4" s="12" t="s">
        <v>155</v>
      </c>
      <c r="I4" s="12" t="s">
        <v>156</v>
      </c>
    </row>
    <row r="5" spans="1:9" x14ac:dyDescent="0.2">
      <c r="A5" s="12">
        <v>1</v>
      </c>
      <c r="B5" s="12" t="s">
        <v>133</v>
      </c>
      <c r="C5" s="1" t="s">
        <v>144</v>
      </c>
      <c r="D5" s="1" t="str">
        <f>HLOOKUP(MID(B5,2,1),$D$17:$I$21,2,0)&amp;" "&amp;VLOOKUP(LEFT(B5,1),$A$17:$B$21,2,0)</f>
        <v>TP Kinh doanh</v>
      </c>
      <c r="E5" s="1">
        <f>HLOOKUP(MID(B5,2,1),$D$17:$I$21,3,0)</f>
        <v>50000</v>
      </c>
      <c r="F5" s="12">
        <v>24</v>
      </c>
      <c r="G5" s="1">
        <f>E5*F5</f>
        <v>1200000</v>
      </c>
      <c r="H5" s="43">
        <f>IF(F5&gt;22,$I$1/$I$2,"0")</f>
        <v>10135.135135135135</v>
      </c>
      <c r="I5" s="1">
        <f>G5+H5</f>
        <v>1210135.1351351351</v>
      </c>
    </row>
    <row r="6" spans="1:9" x14ac:dyDescent="0.2">
      <c r="A6" s="12">
        <v>2</v>
      </c>
      <c r="B6" s="12" t="s">
        <v>134</v>
      </c>
      <c r="C6" s="1" t="s">
        <v>145</v>
      </c>
      <c r="D6" s="1" t="str">
        <f>HLOOKUP(MID(B6,2,1),$D$17:$I$21,2,0)&amp;" "&amp;VLOOKUP(LEFT(B6,1),$A$17:$B$21,2,0)</f>
        <v>NV Kinh doanh</v>
      </c>
      <c r="E6" s="1">
        <f>HLOOKUP(MID(B6,2,1),$D$17:$I$21,3,0)</f>
        <v>35000</v>
      </c>
      <c r="F6" s="12">
        <v>26</v>
      </c>
      <c r="G6" s="1">
        <f>E6*F6</f>
        <v>910000</v>
      </c>
      <c r="H6" s="43">
        <f>IF(F6&gt;22,$I$1/$I$2,"0")</f>
        <v>10135.135135135135</v>
      </c>
      <c r="I6" s="1">
        <f>G6+H6</f>
        <v>920135.13513513515</v>
      </c>
    </row>
    <row r="7" spans="1:9" x14ac:dyDescent="0.2">
      <c r="A7" s="12">
        <v>3</v>
      </c>
      <c r="B7" s="12" t="s">
        <v>135</v>
      </c>
      <c r="C7" s="1" t="s">
        <v>146</v>
      </c>
      <c r="D7" s="1" t="str">
        <f>HLOOKUP(MID(B7,2,1),$D$17:$I$21,2,0)&amp;" "&amp;VLOOKUP(LEFT(B7,1),$A$17:$B$21,2,0)</f>
        <v>PP Tài vụ</v>
      </c>
      <c r="E7" s="1">
        <f>HLOOKUP(MID(B7,2,1),$D$17:$I$21,3,0)</f>
        <v>40000</v>
      </c>
      <c r="F7" s="12">
        <v>22</v>
      </c>
      <c r="G7" s="1">
        <f>E7*F7</f>
        <v>880000</v>
      </c>
      <c r="H7" s="44" t="str">
        <f>IF(F7&gt;22,$I$1/$I$2,"0")</f>
        <v>0</v>
      </c>
      <c r="I7" s="1">
        <f>G7+H7</f>
        <v>880000</v>
      </c>
    </row>
    <row r="8" spans="1:9" x14ac:dyDescent="0.2">
      <c r="A8" s="12">
        <v>4</v>
      </c>
      <c r="B8" s="12" t="s">
        <v>136</v>
      </c>
      <c r="C8" s="1" t="s">
        <v>147</v>
      </c>
      <c r="D8" s="1" t="str">
        <f>HLOOKUP(MID(B8,2,1),$D$17:$I$21,2,0)&amp;" "&amp;VLOOKUP(LEFT(B8,1),$A$17:$B$21,2,0)</f>
        <v>TP Tài vụ</v>
      </c>
      <c r="E8" s="1">
        <f>HLOOKUP(MID(B8,2,1),$D$17:$I$21,3,0)</f>
        <v>50000</v>
      </c>
      <c r="F8" s="12">
        <v>26</v>
      </c>
      <c r="G8" s="1">
        <f>E8*F8</f>
        <v>1300000</v>
      </c>
      <c r="H8" s="43">
        <f>IF(F8&gt;22,$I$1/$I$2,"0")</f>
        <v>10135.135135135135</v>
      </c>
      <c r="I8" s="1">
        <f>G8+H8</f>
        <v>1310135.1351351351</v>
      </c>
    </row>
    <row r="9" spans="1:9" x14ac:dyDescent="0.2">
      <c r="A9" s="12">
        <v>5</v>
      </c>
      <c r="B9" s="12" t="s">
        <v>137</v>
      </c>
      <c r="C9" s="1" t="s">
        <v>148</v>
      </c>
      <c r="D9" s="1" t="str">
        <f>HLOOKUP(MID(B9,2,1),$D$17:$I$21,2,0)&amp;" "&amp;VLOOKUP(LEFT(B9,1),$A$17:$B$21,2,0)</f>
        <v>NV Tài vụ</v>
      </c>
      <c r="E9" s="1">
        <f>HLOOKUP(MID(B9,2,1),$D$17:$I$21,3,0)</f>
        <v>35000</v>
      </c>
      <c r="F9" s="12">
        <v>25</v>
      </c>
      <c r="G9" s="1">
        <f>E9*F9</f>
        <v>875000</v>
      </c>
      <c r="H9" s="43">
        <f>IF(F9&gt;22,$I$1/$I$2,"0")</f>
        <v>10135.135135135135</v>
      </c>
      <c r="I9" s="1">
        <f>G9+H9</f>
        <v>885135.13513513515</v>
      </c>
    </row>
    <row r="10" spans="1:9" x14ac:dyDescent="0.2">
      <c r="A10" s="12">
        <v>6</v>
      </c>
      <c r="B10" s="12" t="s">
        <v>138</v>
      </c>
      <c r="C10" s="1" t="s">
        <v>149</v>
      </c>
      <c r="D10" s="1" t="str">
        <f>HLOOKUP(MID(B10,2,1),$D$17:$I$21,2,0)&amp;" "&amp;VLOOKUP(LEFT(B10,1),$A$17:$B$21,2,0)</f>
        <v>TP Tiếp thị</v>
      </c>
      <c r="E10" s="1">
        <f>HLOOKUP(MID(B10,2,1),$D$17:$I$21,3,0)</f>
        <v>50000</v>
      </c>
      <c r="F10" s="12">
        <v>21</v>
      </c>
      <c r="G10" s="1">
        <f>E10*F10</f>
        <v>1050000</v>
      </c>
      <c r="H10" s="43" t="str">
        <f>IF(F10&gt;22,$I$1/$I$2,"0")</f>
        <v>0</v>
      </c>
      <c r="I10" s="1">
        <f>G10+H10</f>
        <v>1050000</v>
      </c>
    </row>
    <row r="11" spans="1:9" x14ac:dyDescent="0.2">
      <c r="A11" s="12">
        <v>7</v>
      </c>
      <c r="B11" s="12" t="s">
        <v>139</v>
      </c>
      <c r="C11" s="1" t="s">
        <v>211</v>
      </c>
      <c r="D11" s="1" t="str">
        <f>HLOOKUP(MID(B11,2,1),$D$17:$I$21,2,0)&amp;" "&amp;VLOOKUP(LEFT(B11,1),$A$17:$B$21,2,0)</f>
        <v>NV Tiếp thị</v>
      </c>
      <c r="E11" s="1">
        <f>HLOOKUP(MID(B11,2,1),$D$17:$I$21,3,0)</f>
        <v>35000</v>
      </c>
      <c r="F11" s="12">
        <v>24</v>
      </c>
      <c r="G11" s="1">
        <f>E11*F11</f>
        <v>840000</v>
      </c>
      <c r="H11" s="43">
        <f>IF(F11&gt;22,$I$1/$I$2,"0")</f>
        <v>10135.135135135135</v>
      </c>
      <c r="I11" s="1">
        <f>G11+H11</f>
        <v>850135.13513513515</v>
      </c>
    </row>
    <row r="12" spans="1:9" x14ac:dyDescent="0.2">
      <c r="A12" s="12">
        <v>8</v>
      </c>
      <c r="B12" s="12" t="s">
        <v>140</v>
      </c>
      <c r="C12" s="1" t="s">
        <v>150</v>
      </c>
      <c r="D12" s="1" t="str">
        <f>HLOOKUP(MID(B12,2,1),$D$17:$I$21,2,0)&amp;" "&amp;VLOOKUP(LEFT(B12,1),$A$17:$B$21,2,0)</f>
        <v>PP Kho vận</v>
      </c>
      <c r="E12" s="1">
        <f>HLOOKUP(MID(B12,2,1),$D$17:$I$21,3,0)</f>
        <v>40000</v>
      </c>
      <c r="F12" s="12">
        <v>23</v>
      </c>
      <c r="G12" s="1">
        <f>E12*F12</f>
        <v>920000</v>
      </c>
      <c r="H12" s="43">
        <f>IF(F12&gt;22,$I$1/$I$2,"0")</f>
        <v>10135.135135135135</v>
      </c>
      <c r="I12" s="1">
        <f>G12+H12</f>
        <v>930135.13513513515</v>
      </c>
    </row>
    <row r="13" spans="1:9" x14ac:dyDescent="0.2">
      <c r="A13" s="12">
        <v>9</v>
      </c>
      <c r="B13" s="12" t="s">
        <v>141</v>
      </c>
      <c r="C13" s="1" t="s">
        <v>210</v>
      </c>
      <c r="D13" s="1" t="str">
        <f>HLOOKUP(MID(B13,2,1),$D$17:$I$21,2,0)&amp;" "&amp;VLOOKUP(LEFT(B13,1),$A$17:$B$21,2,0)</f>
        <v>NV Kho vận</v>
      </c>
      <c r="E13" s="1">
        <f>HLOOKUP(MID(B13,2,1),$D$17:$I$21,3,0)</f>
        <v>35000</v>
      </c>
      <c r="F13" s="12">
        <v>18</v>
      </c>
      <c r="G13" s="1">
        <f>E13*F13</f>
        <v>630000</v>
      </c>
      <c r="H13" s="43" t="str">
        <f>IF(F13&gt;22,$I$1/$I$2,"0")</f>
        <v>0</v>
      </c>
      <c r="I13" s="1">
        <f>G13+H13</f>
        <v>630000</v>
      </c>
    </row>
    <row r="14" spans="1:9" x14ac:dyDescent="0.2">
      <c r="A14" s="12">
        <v>10</v>
      </c>
      <c r="B14" s="12" t="s">
        <v>142</v>
      </c>
      <c r="C14" s="1" t="s">
        <v>151</v>
      </c>
      <c r="D14" s="1" t="str">
        <f>HLOOKUP(MID(B14,2,1),$D$17:$I$21,2,0)&amp;" "&amp;VLOOKUP(LEFT(B14,1),$A$17:$B$21,2,0)</f>
        <v>TP Kho vận</v>
      </c>
      <c r="E14" s="1">
        <f>HLOOKUP(MID(B14,2,1),$D$17:$I$21,3,0)</f>
        <v>50000</v>
      </c>
      <c r="F14" s="12">
        <v>18</v>
      </c>
      <c r="G14" s="1">
        <f>E14*F14</f>
        <v>900000</v>
      </c>
      <c r="H14" s="43" t="str">
        <f>IF(F14&gt;22,$I$1/$I$2,"0")</f>
        <v>0</v>
      </c>
      <c r="I14" s="1">
        <f>G14+H14</f>
        <v>900000</v>
      </c>
    </row>
    <row r="16" spans="1:9" x14ac:dyDescent="0.2">
      <c r="A16" s="18" t="s">
        <v>157</v>
      </c>
      <c r="B16" s="18"/>
      <c r="D16" s="18" t="s">
        <v>158</v>
      </c>
      <c r="E16" s="18"/>
      <c r="H16" s="18" t="s">
        <v>209</v>
      </c>
      <c r="I16" s="18"/>
    </row>
    <row r="17" spans="1:9" x14ac:dyDescent="0.2">
      <c r="A17" s="12" t="s">
        <v>160</v>
      </c>
      <c r="B17" s="42" t="s">
        <v>161</v>
      </c>
      <c r="C17" s="19" t="s">
        <v>208</v>
      </c>
      <c r="D17" s="12" t="s">
        <v>58</v>
      </c>
      <c r="E17" s="12" t="s">
        <v>169</v>
      </c>
      <c r="F17" s="9" t="s">
        <v>170</v>
      </c>
      <c r="G17" s="12" t="s">
        <v>160</v>
      </c>
      <c r="H17" s="12" t="s">
        <v>171</v>
      </c>
      <c r="I17" s="12" t="s">
        <v>155</v>
      </c>
    </row>
    <row r="18" spans="1:9" x14ac:dyDescent="0.2">
      <c r="A18" s="1" t="s">
        <v>57</v>
      </c>
      <c r="B18" s="41" t="s">
        <v>165</v>
      </c>
      <c r="C18" s="19" t="s">
        <v>152</v>
      </c>
      <c r="D18" s="12" t="s">
        <v>118</v>
      </c>
      <c r="E18" s="12" t="s">
        <v>119</v>
      </c>
      <c r="F18" s="9" t="s">
        <v>172</v>
      </c>
      <c r="G18" s="12" t="s">
        <v>57</v>
      </c>
      <c r="H18" s="41" t="s">
        <v>165</v>
      </c>
      <c r="I18" s="1"/>
    </row>
    <row r="19" spans="1:9" x14ac:dyDescent="0.2">
      <c r="A19" s="1" t="s">
        <v>162</v>
      </c>
      <c r="B19" s="1" t="s">
        <v>166</v>
      </c>
      <c r="C19" s="19" t="s">
        <v>159</v>
      </c>
      <c r="D19" s="40">
        <v>50000</v>
      </c>
      <c r="E19" s="40">
        <v>35000</v>
      </c>
      <c r="F19" s="39">
        <v>40000</v>
      </c>
      <c r="G19" s="12" t="s">
        <v>162</v>
      </c>
      <c r="H19" s="1" t="s">
        <v>166</v>
      </c>
      <c r="I19" s="1"/>
    </row>
    <row r="20" spans="1:9" x14ac:dyDescent="0.2">
      <c r="A20" s="1" t="s">
        <v>164</v>
      </c>
      <c r="B20" s="1" t="s">
        <v>167</v>
      </c>
      <c r="G20" s="12" t="s">
        <v>164</v>
      </c>
      <c r="H20" s="4" t="s">
        <v>167</v>
      </c>
      <c r="I20" s="1"/>
    </row>
    <row r="21" spans="1:9" x14ac:dyDescent="0.2">
      <c r="A21" s="1" t="s">
        <v>163</v>
      </c>
      <c r="B21" s="1" t="s">
        <v>168</v>
      </c>
      <c r="G21" s="12" t="s">
        <v>163</v>
      </c>
      <c r="H21" s="1" t="s">
        <v>168</v>
      </c>
      <c r="I21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01207-ED7F-4BC4-BA38-3506A254A44E}">
  <dimension ref="A1:K18"/>
  <sheetViews>
    <sheetView zoomScale="125" workbookViewId="0">
      <selection activeCell="J19" sqref="J19"/>
    </sheetView>
  </sheetViews>
  <sheetFormatPr baseColWidth="10" defaultColWidth="8.83203125" defaultRowHeight="15" x14ac:dyDescent="0.2"/>
  <cols>
    <col min="2" max="2" width="18.83203125" bestFit="1" customWidth="1"/>
  </cols>
  <sheetData>
    <row r="1" spans="1:11" ht="21" x14ac:dyDescent="0.25">
      <c r="A1" s="32" t="s">
        <v>174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3" spans="1:11" x14ac:dyDescent="0.2">
      <c r="B3" s="1" t="s">
        <v>175</v>
      </c>
      <c r="C3" s="1">
        <v>4000</v>
      </c>
    </row>
    <row r="4" spans="1:11" x14ac:dyDescent="0.2">
      <c r="B4" s="5" t="s">
        <v>176</v>
      </c>
      <c r="C4" s="5">
        <v>48</v>
      </c>
      <c r="D4">
        <v>36</v>
      </c>
      <c r="E4">
        <v>48</v>
      </c>
      <c r="F4">
        <v>48</v>
      </c>
      <c r="G4">
        <v>60</v>
      </c>
      <c r="H4">
        <v>90</v>
      </c>
    </row>
    <row r="5" spans="1:11" x14ac:dyDescent="0.2">
      <c r="A5" s="1" t="s">
        <v>177</v>
      </c>
      <c r="B5" s="1" t="s">
        <v>2</v>
      </c>
      <c r="C5" s="1" t="s">
        <v>178</v>
      </c>
      <c r="D5" s="1" t="s">
        <v>179</v>
      </c>
      <c r="E5" s="1" t="s">
        <v>180</v>
      </c>
      <c r="F5" s="1" t="s">
        <v>181</v>
      </c>
      <c r="G5" s="1" t="s">
        <v>182</v>
      </c>
      <c r="H5" s="1" t="s">
        <v>183</v>
      </c>
      <c r="I5" s="1" t="s">
        <v>184</v>
      </c>
      <c r="J5" s="1" t="s">
        <v>185</v>
      </c>
      <c r="K5" s="1" t="s">
        <v>186</v>
      </c>
    </row>
    <row r="6" spans="1:11" x14ac:dyDescent="0.2">
      <c r="A6" s="1">
        <v>1</v>
      </c>
      <c r="B6" s="1" t="s">
        <v>187</v>
      </c>
      <c r="C6" s="1" t="s">
        <v>19</v>
      </c>
      <c r="D6" s="1" t="s">
        <v>19</v>
      </c>
      <c r="E6" s="1" t="s">
        <v>19</v>
      </c>
      <c r="F6" s="1" t="s">
        <v>19</v>
      </c>
      <c r="G6" s="1"/>
      <c r="H6" s="1"/>
      <c r="I6" s="1">
        <f>SUMIF(C6:H6,"x",C4:H4)</f>
        <v>180</v>
      </c>
      <c r="J6" s="1">
        <f>C3*I6</f>
        <v>720000</v>
      </c>
      <c r="K6" s="1"/>
    </row>
    <row r="7" spans="1:11" x14ac:dyDescent="0.2">
      <c r="A7" s="1">
        <v>2</v>
      </c>
      <c r="B7" s="1" t="s">
        <v>188</v>
      </c>
      <c r="C7" s="1" t="s">
        <v>19</v>
      </c>
      <c r="D7" s="1" t="s">
        <v>19</v>
      </c>
      <c r="E7" s="1" t="s">
        <v>19</v>
      </c>
      <c r="F7" s="1" t="s">
        <v>19</v>
      </c>
      <c r="G7" s="1"/>
      <c r="H7" s="1"/>
      <c r="I7" s="1">
        <f>SUMIF(C7:H7,"x",C4:H4)</f>
        <v>180</v>
      </c>
      <c r="J7" s="1">
        <f>C3*I7</f>
        <v>720000</v>
      </c>
      <c r="K7" s="1"/>
    </row>
    <row r="8" spans="1:11" x14ac:dyDescent="0.2">
      <c r="A8" s="1">
        <v>3</v>
      </c>
      <c r="B8" s="1" t="s">
        <v>189</v>
      </c>
      <c r="C8" s="1"/>
      <c r="D8" s="1"/>
      <c r="E8" s="1"/>
      <c r="F8" s="1"/>
      <c r="G8" s="1" t="s">
        <v>19</v>
      </c>
      <c r="H8" s="1" t="s">
        <v>19</v>
      </c>
      <c r="I8" s="1">
        <f>SUMIF(C8:H8,"x",C4:H4)</f>
        <v>150</v>
      </c>
      <c r="J8" s="1">
        <f>C3*I8</f>
        <v>600000</v>
      </c>
      <c r="K8" s="1"/>
    </row>
    <row r="9" spans="1:11" x14ac:dyDescent="0.2">
      <c r="A9" s="1">
        <v>4</v>
      </c>
      <c r="B9" s="1" t="s">
        <v>190</v>
      </c>
      <c r="C9" s="1"/>
      <c r="D9" s="1"/>
      <c r="E9" s="1"/>
      <c r="F9" s="1"/>
      <c r="G9" s="1" t="s">
        <v>19</v>
      </c>
      <c r="H9" s="1" t="s">
        <v>19</v>
      </c>
      <c r="I9" s="1">
        <f>SUMIF(C9:H9,"x",C4:H4)</f>
        <v>150</v>
      </c>
      <c r="J9" s="1">
        <f>C3*I9</f>
        <v>600000</v>
      </c>
      <c r="K9" s="1"/>
    </row>
    <row r="10" spans="1:11" x14ac:dyDescent="0.2">
      <c r="A10" s="1">
        <v>5</v>
      </c>
      <c r="B10" s="1" t="s">
        <v>191</v>
      </c>
      <c r="C10" s="1"/>
      <c r="D10" s="1" t="s">
        <v>19</v>
      </c>
      <c r="E10" s="1" t="s">
        <v>19</v>
      </c>
      <c r="F10" s="1" t="s">
        <v>19</v>
      </c>
      <c r="G10" s="1"/>
      <c r="H10" s="1"/>
      <c r="I10" s="1">
        <f>SUMIF(C10:H10,"x",C4:H4)</f>
        <v>132</v>
      </c>
      <c r="J10" s="1">
        <f>C3*I10</f>
        <v>528000</v>
      </c>
      <c r="K10" s="1"/>
    </row>
    <row r="11" spans="1:11" x14ac:dyDescent="0.2">
      <c r="A11" s="1">
        <v>6</v>
      </c>
      <c r="B11" s="1" t="s">
        <v>192</v>
      </c>
      <c r="C11" s="1"/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>
        <f>SUMIF(C11:H11,"x",C4:H4)</f>
        <v>282</v>
      </c>
      <c r="J11" s="1">
        <f>C3*I11</f>
        <v>1128000</v>
      </c>
      <c r="K11" s="1"/>
    </row>
    <row r="12" spans="1:11" x14ac:dyDescent="0.2">
      <c r="A12" s="1">
        <v>7</v>
      </c>
      <c r="B12" s="1" t="s">
        <v>193</v>
      </c>
      <c r="C12" s="1" t="s">
        <v>19</v>
      </c>
      <c r="D12" s="1" t="s">
        <v>19</v>
      </c>
      <c r="E12" s="1" t="s">
        <v>19</v>
      </c>
      <c r="F12" s="1" t="s">
        <v>19</v>
      </c>
      <c r="G12" s="1"/>
      <c r="H12" s="1"/>
      <c r="I12" s="1">
        <f>SUMIF(C12:H12,"x",C4:H4)</f>
        <v>180</v>
      </c>
      <c r="J12" s="1">
        <f>C3*I12</f>
        <v>720000</v>
      </c>
      <c r="K12" s="1"/>
    </row>
    <row r="13" spans="1:11" x14ac:dyDescent="0.2">
      <c r="A13" s="1">
        <v>8</v>
      </c>
      <c r="B13" s="1" t="s">
        <v>194</v>
      </c>
      <c r="C13" s="1"/>
      <c r="D13" s="1"/>
      <c r="E13" s="1"/>
      <c r="F13" s="1"/>
      <c r="G13" s="1" t="s">
        <v>19</v>
      </c>
      <c r="H13" s="1" t="s">
        <v>19</v>
      </c>
      <c r="I13" s="1">
        <f>SUMIF(C13:H13,"x",C4:H4)</f>
        <v>150</v>
      </c>
      <c r="J13" s="1">
        <f>C3*I13</f>
        <v>600000</v>
      </c>
      <c r="K13" s="1"/>
    </row>
    <row r="14" spans="1:11" x14ac:dyDescent="0.2">
      <c r="A14" s="1">
        <v>9</v>
      </c>
      <c r="B14" s="1" t="s">
        <v>195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19</v>
      </c>
      <c r="I14" s="1">
        <f>SUMIF(C14:H14,"x",C4:H4)</f>
        <v>330</v>
      </c>
      <c r="J14" s="1">
        <f>C3*I14</f>
        <v>1320000</v>
      </c>
      <c r="K14" s="1"/>
    </row>
    <row r="15" spans="1:11" x14ac:dyDescent="0.2">
      <c r="A15" s="1">
        <v>10</v>
      </c>
      <c r="B15" s="1" t="s">
        <v>196</v>
      </c>
      <c r="C15" s="1" t="s">
        <v>19</v>
      </c>
      <c r="D15" s="1" t="s">
        <v>19</v>
      </c>
      <c r="E15" s="1" t="s">
        <v>19</v>
      </c>
      <c r="F15" s="1" t="s">
        <v>19</v>
      </c>
      <c r="G15" s="1" t="s">
        <v>19</v>
      </c>
      <c r="H15" s="1" t="s">
        <v>19</v>
      </c>
      <c r="I15" s="1">
        <f>SUMIF(C15:H15,"x",C4:H4)</f>
        <v>330</v>
      </c>
      <c r="J15" s="1">
        <f>C3*I15</f>
        <v>1320000</v>
      </c>
      <c r="K15" s="1"/>
    </row>
    <row r="16" spans="1:11" x14ac:dyDescent="0.2">
      <c r="A16" s="1">
        <v>11</v>
      </c>
      <c r="B16" s="1" t="s">
        <v>197</v>
      </c>
      <c r="C16" s="1"/>
      <c r="D16" s="1" t="s">
        <v>19</v>
      </c>
      <c r="E16" s="1" t="s">
        <v>19</v>
      </c>
      <c r="F16" s="1" t="s">
        <v>19</v>
      </c>
      <c r="G16" s="1"/>
      <c r="H16" s="1"/>
      <c r="I16" s="1">
        <f>SUMIF(C16:H16,"x",C4:H4)</f>
        <v>132</v>
      </c>
      <c r="J16" s="1">
        <f>C3*I16</f>
        <v>528000</v>
      </c>
      <c r="K16" s="1"/>
    </row>
    <row r="17" spans="1:11" x14ac:dyDescent="0.2">
      <c r="A17" s="1">
        <v>12</v>
      </c>
      <c r="B17" s="1" t="s">
        <v>198</v>
      </c>
      <c r="C17" s="1"/>
      <c r="D17" s="1" t="s">
        <v>19</v>
      </c>
      <c r="E17" s="1" t="s">
        <v>19</v>
      </c>
      <c r="F17" s="1" t="s">
        <v>19</v>
      </c>
      <c r="G17" s="1" t="s">
        <v>19</v>
      </c>
      <c r="H17" s="1" t="s">
        <v>19</v>
      </c>
      <c r="I17" s="1">
        <f>SUMIF(C17:H17,"x",C4:H4)</f>
        <v>282</v>
      </c>
      <c r="J17" s="1">
        <f>C3*I17</f>
        <v>1128000</v>
      </c>
      <c r="K17" s="1"/>
    </row>
    <row r="18" spans="1:11" x14ac:dyDescent="0.2">
      <c r="B18" s="6" t="s">
        <v>199</v>
      </c>
      <c r="C18" s="7"/>
      <c r="D18" s="7"/>
      <c r="E18" s="7"/>
      <c r="F18" s="7"/>
      <c r="G18" s="7"/>
      <c r="H18" s="7"/>
      <c r="I18" s="3"/>
      <c r="J18" s="8">
        <f>SUM(J6:J17)</f>
        <v>9912000</v>
      </c>
      <c r="K18" s="8"/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BT1</vt:lpstr>
      <vt:lpstr>BT2</vt:lpstr>
      <vt:lpstr>BT3</vt:lpstr>
      <vt:lpstr>BT4</vt:lpstr>
      <vt:lpstr>BT5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cict</dc:creator>
  <cp:lastModifiedBy>Microsoft Office User</cp:lastModifiedBy>
  <dcterms:created xsi:type="dcterms:W3CDTF">2023-12-12T00:42:40Z</dcterms:created>
  <dcterms:modified xsi:type="dcterms:W3CDTF">2023-12-12T13:06:59Z</dcterms:modified>
</cp:coreProperties>
</file>