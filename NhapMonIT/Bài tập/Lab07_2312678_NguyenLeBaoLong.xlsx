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o Long\Desktop\"/>
    </mc:Choice>
  </mc:AlternateContent>
  <xr:revisionPtr revIDLastSave="0" documentId="13_ncr:1_{5318004B-0492-4DF3-BAB2-E29423222743}" xr6:coauthVersionLast="47" xr6:coauthVersionMax="47" xr10:uidLastSave="{00000000-0000-0000-0000-000000000000}"/>
  <bookViews>
    <workbookView xWindow="-120" yWindow="-120" windowWidth="19440" windowHeight="11040" activeTab="5" xr2:uid="{7ADAD009-D220-4E75-AFD5-6060DCC6D634}"/>
  </bookViews>
  <sheets>
    <sheet name="BT1" sheetId="1" r:id="rId1"/>
    <sheet name="BT2" sheetId="2" r:id="rId2"/>
    <sheet name="BT3" sheetId="3" r:id="rId3"/>
    <sheet name="BT4" sheetId="4" r:id="rId4"/>
    <sheet name="BT5" sheetId="5" r:id="rId5"/>
    <sheet name="BT6" sheetId="6" r:id="rId6"/>
  </sheets>
  <definedNames>
    <definedName name="_xlnm._FilterDatabase" localSheetId="0" hidden="1">'BT1'!$L$14:$P$15</definedName>
    <definedName name="_xlnm._FilterDatabase" localSheetId="1" hidden="1">'BT2'!$C$12:$G$19</definedName>
    <definedName name="_xlnm._FilterDatabase" localSheetId="2" hidden="1">'BT3'!$G$19:$G$23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C5" i="6"/>
  <c r="C6" i="6"/>
  <c r="C7" i="6"/>
  <c r="C8" i="6"/>
  <c r="C9" i="6"/>
  <c r="C10" i="6"/>
  <c r="C11" i="6"/>
  <c r="C12" i="6"/>
  <c r="C13" i="6"/>
  <c r="C14" i="6"/>
  <c r="C15" i="6"/>
  <c r="H7" i="5"/>
  <c r="H13" i="5" s="1"/>
  <c r="K13" i="5" s="1"/>
  <c r="K12" i="5"/>
  <c r="K11" i="5"/>
  <c r="K10" i="5"/>
  <c r="K9" i="5"/>
  <c r="K8" i="5"/>
  <c r="K6" i="5"/>
  <c r="J13" i="5"/>
  <c r="J12" i="5"/>
  <c r="J11" i="5"/>
  <c r="J10" i="5"/>
  <c r="J9" i="5"/>
  <c r="J8" i="5"/>
  <c r="J7" i="5"/>
  <c r="J6" i="5"/>
  <c r="I13" i="5"/>
  <c r="G13" i="5"/>
  <c r="E13" i="5"/>
  <c r="I12" i="5"/>
  <c r="I11" i="5"/>
  <c r="I10" i="5"/>
  <c r="I9" i="5"/>
  <c r="I8" i="5"/>
  <c r="I7" i="5"/>
  <c r="I6" i="5"/>
  <c r="H8" i="5"/>
  <c r="H9" i="5"/>
  <c r="H10" i="5"/>
  <c r="H11" i="5"/>
  <c r="H12" i="5"/>
  <c r="H6" i="5"/>
  <c r="G7" i="5"/>
  <c r="G8" i="5"/>
  <c r="G9" i="5"/>
  <c r="G10" i="5"/>
  <c r="G11" i="5"/>
  <c r="G12" i="5"/>
  <c r="G6" i="5"/>
  <c r="D7" i="4"/>
  <c r="D8" i="4"/>
  <c r="D9" i="4"/>
  <c r="D10" i="4"/>
  <c r="D11" i="4"/>
  <c r="D12" i="4"/>
  <c r="D13" i="4"/>
  <c r="D14" i="4"/>
  <c r="D15" i="4"/>
  <c r="D6" i="4"/>
  <c r="G7" i="4"/>
  <c r="G8" i="4"/>
  <c r="G9" i="4"/>
  <c r="G10" i="4"/>
  <c r="G11" i="4"/>
  <c r="G12" i="4"/>
  <c r="G13" i="4"/>
  <c r="G14" i="4"/>
  <c r="G15" i="4"/>
  <c r="G6" i="4"/>
  <c r="N17" i="3"/>
  <c r="N15" i="3"/>
  <c r="N16" i="3"/>
  <c r="N14" i="3"/>
  <c r="N13" i="3"/>
  <c r="N12" i="3"/>
  <c r="N11" i="3"/>
  <c r="N10" i="3"/>
  <c r="N9" i="3"/>
  <c r="N8" i="3"/>
  <c r="N7" i="3"/>
  <c r="N6" i="3"/>
  <c r="M17" i="3"/>
  <c r="N5" i="3"/>
  <c r="N4" i="3"/>
  <c r="N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3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E16" i="2"/>
  <c r="E15" i="2"/>
  <c r="D19" i="2"/>
  <c r="H9" i="2"/>
  <c r="D18" i="2"/>
  <c r="H8" i="2"/>
  <c r="D17" i="2"/>
  <c r="H7" i="2"/>
  <c r="D16" i="2"/>
  <c r="H6" i="2"/>
  <c r="D15" i="2"/>
  <c r="H5" i="2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3" i="3"/>
  <c r="E5" i="1"/>
  <c r="I5" i="1" s="1"/>
  <c r="E6" i="1"/>
  <c r="I6" i="1" s="1"/>
  <c r="E7" i="1"/>
  <c r="I7" i="1" s="1"/>
  <c r="E8" i="1"/>
  <c r="I8" i="1" s="1"/>
  <c r="E9" i="1"/>
  <c r="I9" i="1" s="1"/>
  <c r="E10" i="1"/>
  <c r="I10" i="1" s="1"/>
  <c r="E11" i="1"/>
  <c r="I11" i="1" s="1"/>
  <c r="E4" i="1"/>
  <c r="I4" i="1" s="1"/>
  <c r="D5" i="1"/>
  <c r="D6" i="1"/>
  <c r="D7" i="1"/>
  <c r="D8" i="1"/>
  <c r="D9" i="1"/>
  <c r="D10" i="1"/>
  <c r="D11" i="1"/>
  <c r="D4" i="1"/>
  <c r="K7" i="5" l="1"/>
  <c r="J5" i="1"/>
  <c r="J6" i="1"/>
  <c r="J7" i="1"/>
  <c r="J8" i="1"/>
  <c r="J9" i="1"/>
  <c r="J10" i="1"/>
  <c r="J11" i="1"/>
  <c r="J4" i="1"/>
  <c r="L8" i="1" l="1"/>
  <c r="K8" i="1"/>
  <c r="L11" i="1"/>
  <c r="K11" i="1"/>
  <c r="L7" i="1"/>
  <c r="K7" i="1"/>
  <c r="L10" i="1"/>
  <c r="K10" i="1"/>
  <c r="L6" i="1"/>
  <c r="K6" i="1"/>
  <c r="L4" i="1"/>
  <c r="K4" i="1"/>
  <c r="L9" i="1"/>
  <c r="K9" i="1"/>
  <c r="L5" i="1"/>
  <c r="K5" i="1"/>
</calcChain>
</file>

<file path=xl/sharedStrings.xml><?xml version="1.0" encoding="utf-8"?>
<sst xmlns="http://schemas.openxmlformats.org/spreadsheetml/2006/main" count="333" uniqueCount="207">
  <si>
    <t>SBD</t>
  </si>
  <si>
    <t>Họ</t>
  </si>
  <si>
    <t>Tên</t>
  </si>
  <si>
    <t>Toán</t>
  </si>
  <si>
    <t>Lý</t>
  </si>
  <si>
    <t>Hóa</t>
  </si>
  <si>
    <t>D204</t>
  </si>
  <si>
    <t>C203</t>
  </si>
  <si>
    <t>B102</t>
  </si>
  <si>
    <t>A101</t>
  </si>
  <si>
    <t>A205</t>
  </si>
  <si>
    <t>C106</t>
  </si>
  <si>
    <t>D107</t>
  </si>
  <si>
    <t>A208</t>
  </si>
  <si>
    <t>Nguyễn Mạnh</t>
  </si>
  <si>
    <t>Lê Minh</t>
  </si>
  <si>
    <t>Trương Quang</t>
  </si>
  <si>
    <t>Nguyễn Thị</t>
  </si>
  <si>
    <t>Châu Thanh</t>
  </si>
  <si>
    <t>Trần</t>
  </si>
  <si>
    <t>Phan Bá</t>
  </si>
  <si>
    <t>Vinh</t>
  </si>
  <si>
    <t>Trung</t>
  </si>
  <si>
    <t>Thế</t>
  </si>
  <si>
    <t>Định</t>
  </si>
  <si>
    <t>Minh</t>
  </si>
  <si>
    <t>Tấn</t>
  </si>
  <si>
    <t>Thanh</t>
  </si>
  <si>
    <t>Bảng 1</t>
  </si>
  <si>
    <t>KẾT QUẢ TUYỂN SINH</t>
  </si>
  <si>
    <t>Mã ngành</t>
  </si>
  <si>
    <t>Ngành thi</t>
  </si>
  <si>
    <t>A</t>
  </si>
  <si>
    <t>B</t>
  </si>
  <si>
    <t>C</t>
  </si>
  <si>
    <t>D</t>
  </si>
  <si>
    <t>Máy Tính</t>
  </si>
  <si>
    <t>Điện Tử</t>
  </si>
  <si>
    <t>Xây Dựng</t>
  </si>
  <si>
    <t>Bảng 2</t>
  </si>
  <si>
    <t>Mã Ngành</t>
  </si>
  <si>
    <t>Điểm h bổng</t>
  </si>
  <si>
    <t>chuẩn 1</t>
  </si>
  <si>
    <t>chuẩn 2</t>
  </si>
  <si>
    <t xml:space="preserve">Điểm </t>
  </si>
  <si>
    <t>Khu vực</t>
  </si>
  <si>
    <t>Học bổng</t>
  </si>
  <si>
    <t>Tổng điểm</t>
  </si>
  <si>
    <t>Điểm chuẩn</t>
  </si>
  <si>
    <t>Chú thích</t>
  </si>
  <si>
    <t>Bảng giá thị trường thế giới và thị trường Việt Nam</t>
  </si>
  <si>
    <t>Tên hàng</t>
  </si>
  <si>
    <t>Cà Phê</t>
  </si>
  <si>
    <t>Gạo</t>
  </si>
  <si>
    <t>Phân Bón</t>
  </si>
  <si>
    <t>Dầu Thô</t>
  </si>
  <si>
    <t>Vàng</t>
  </si>
  <si>
    <t>Hồ Tiêu</t>
  </si>
  <si>
    <t>Cao Su</t>
  </si>
  <si>
    <t>DVT</t>
  </si>
  <si>
    <t>Việt Nam</t>
  </si>
  <si>
    <t>Thế giới</t>
  </si>
  <si>
    <t>Tỷ giá</t>
  </si>
  <si>
    <t>Tổng kim ngạch xuất khẩu 6 tháng đầu năm</t>
  </si>
  <si>
    <t>Mặt hàng</t>
  </si>
  <si>
    <t>Cà phê</t>
  </si>
  <si>
    <t>Dầu thô</t>
  </si>
  <si>
    <t>Hồ tiêu</t>
  </si>
  <si>
    <t>Cao su</t>
  </si>
  <si>
    <t>Tỷ lệ</t>
  </si>
  <si>
    <t>Gía Trị</t>
  </si>
  <si>
    <t>Bảng thống kê</t>
  </si>
  <si>
    <t>Số lượng tính theo giá thị trường</t>
  </si>
  <si>
    <t>Chênh lệch</t>
  </si>
  <si>
    <t>STT</t>
  </si>
  <si>
    <t xml:space="preserve">Môn học </t>
  </si>
  <si>
    <t>Mã lớp</t>
  </si>
  <si>
    <t>Loại</t>
  </si>
  <si>
    <t>Sĩ Số</t>
  </si>
  <si>
    <t>Giảng viên</t>
  </si>
  <si>
    <t>Chức danh</t>
  </si>
  <si>
    <t>Số tiết</t>
  </si>
  <si>
    <t>HS đông</t>
  </si>
  <si>
    <t>HS đêm</t>
  </si>
  <si>
    <t>HS xa</t>
  </si>
  <si>
    <t>HS cao học</t>
  </si>
  <si>
    <t>Số tiết qui đổi</t>
  </si>
  <si>
    <t>Số tiền</t>
  </si>
  <si>
    <t>THDC</t>
  </si>
  <si>
    <t>THQL</t>
  </si>
  <si>
    <t>PTHT</t>
  </si>
  <si>
    <t>CTDL</t>
  </si>
  <si>
    <t>KTLT</t>
  </si>
  <si>
    <t>CSDL1</t>
  </si>
  <si>
    <t>THCN</t>
  </si>
  <si>
    <t>BTG3</t>
  </si>
  <si>
    <t>TKT19</t>
  </si>
  <si>
    <t>CQ20</t>
  </si>
  <si>
    <t>TKT20</t>
  </si>
  <si>
    <t>DL20</t>
  </si>
  <si>
    <t>CH5</t>
  </si>
  <si>
    <t>CH4</t>
  </si>
  <si>
    <t>DGK</t>
  </si>
  <si>
    <t>NGK</t>
  </si>
  <si>
    <t>NXK</t>
  </si>
  <si>
    <t>NXC</t>
  </si>
  <si>
    <t>NKC</t>
  </si>
  <si>
    <t>Cao</t>
  </si>
  <si>
    <t>Thạnh</t>
  </si>
  <si>
    <t>Hương</t>
  </si>
  <si>
    <t>Dung</t>
  </si>
  <si>
    <t xml:space="preserve">Liêm </t>
  </si>
  <si>
    <t>Liễu</t>
  </si>
  <si>
    <t>TĐạt</t>
  </si>
  <si>
    <t>Lệ</t>
  </si>
  <si>
    <t xml:space="preserve">BẢNG CHI TIẾT TÍNH SỐ GIỜ QUY ĐỔI </t>
  </si>
  <si>
    <t>TS</t>
  </si>
  <si>
    <t>PTS</t>
  </si>
  <si>
    <t>GVC</t>
  </si>
  <si>
    <t>GV</t>
  </si>
  <si>
    <t>TG</t>
  </si>
  <si>
    <t>Đơn giá</t>
  </si>
  <si>
    <t>HỌ TÊN</t>
  </si>
  <si>
    <t>LOẠI</t>
  </si>
  <si>
    <t>ĐỊNH MỨC</t>
  </si>
  <si>
    <t>CŨ</t>
  </si>
  <si>
    <t>MỚI</t>
  </si>
  <si>
    <t>TIÊU THỤ</t>
  </si>
  <si>
    <t xml:space="preserve">TRONG </t>
  </si>
  <si>
    <t>VƯỢT</t>
  </si>
  <si>
    <t>CỘNG</t>
  </si>
  <si>
    <t>Trương Mỹ Dung</t>
  </si>
  <si>
    <t>Trần Thị Ngọc Bích</t>
  </si>
  <si>
    <t>Phạm Du Liêm</t>
  </si>
  <si>
    <t>Nguyễn Quốc Hùng</t>
  </si>
  <si>
    <t xml:space="preserve">Huỳnh Ngọc Liểu </t>
  </si>
  <si>
    <t>Nguyễn Tiến Đạt</t>
  </si>
  <si>
    <t>Lê Ngọc Thạnh</t>
  </si>
  <si>
    <t>Hứa Thị Ngọc Nga</t>
  </si>
  <si>
    <t>Vũ Thị Liên Hương</t>
  </si>
  <si>
    <t>Võ Hà Quang Định</t>
  </si>
  <si>
    <t>TỔNG CỘNG</t>
  </si>
  <si>
    <t>ĐƠN GIÁ</t>
  </si>
  <si>
    <t>Tháng 2/2006</t>
  </si>
  <si>
    <t>BẢNG TÍNH TIỀN ĐIỆN</t>
  </si>
  <si>
    <t>Mã số</t>
  </si>
  <si>
    <t xml:space="preserve">Lương </t>
  </si>
  <si>
    <t>Căn bản</t>
  </si>
  <si>
    <t>Xếp loại</t>
  </si>
  <si>
    <t>Hệ số</t>
  </si>
  <si>
    <t>Phụ</t>
  </si>
  <si>
    <t>Cấp</t>
  </si>
  <si>
    <t xml:space="preserve">Tạm ứng </t>
  </si>
  <si>
    <t>Thưởng</t>
  </si>
  <si>
    <t>Thực</t>
  </si>
  <si>
    <t>lãnh</t>
  </si>
  <si>
    <t xml:space="preserve">Nguyễn Văn </t>
  </si>
  <si>
    <t>Nguyễn Thị Cẩm</t>
  </si>
  <si>
    <t>Lại Thị Phương</t>
  </si>
  <si>
    <t>Nguyễn Đình</t>
  </si>
  <si>
    <t>Võ Công</t>
  </si>
  <si>
    <t>Nguyễn Thị Hiếu</t>
  </si>
  <si>
    <t>Ân</t>
  </si>
  <si>
    <t>Hồng</t>
  </si>
  <si>
    <t>Quỳnh</t>
  </si>
  <si>
    <t>Tuấn</t>
  </si>
  <si>
    <t>Đồng</t>
  </si>
  <si>
    <t>Hạnh</t>
  </si>
  <si>
    <t>Phước</t>
  </si>
  <si>
    <t>A1CB</t>
  </si>
  <si>
    <t>A2CB</t>
  </si>
  <si>
    <t>C3CB</t>
  </si>
  <si>
    <t>C3NV</t>
  </si>
  <si>
    <t>Tổng</t>
  </si>
  <si>
    <t>Bảng tính phụ cấp</t>
  </si>
  <si>
    <t>CB</t>
  </si>
  <si>
    <t>NV</t>
  </si>
  <si>
    <t>Bảng tính Hệ số</t>
  </si>
  <si>
    <t>Hệ số Xếp loại</t>
  </si>
  <si>
    <t>BẢNG TÍNH LƯƠNG CBCNV</t>
  </si>
  <si>
    <t>Tổng thưởng :</t>
  </si>
  <si>
    <t>Tỷ giá :</t>
  </si>
  <si>
    <t>Hệ số :</t>
  </si>
  <si>
    <t>Số gọi</t>
  </si>
  <si>
    <t>Tỉnh / TP</t>
  </si>
  <si>
    <t>Vùng</t>
  </si>
  <si>
    <t>Giờ BD</t>
  </si>
  <si>
    <t>Giờ KT</t>
  </si>
  <si>
    <t>Thời gian gọi</t>
  </si>
  <si>
    <t>Số cuộc gọi</t>
  </si>
  <si>
    <t>Tiền phải trả</t>
  </si>
  <si>
    <t>056-825557</t>
  </si>
  <si>
    <t>014-533801</t>
  </si>
  <si>
    <t>064-839871</t>
  </si>
  <si>
    <t>061-8444150</t>
  </si>
  <si>
    <t>063-843771</t>
  </si>
  <si>
    <t>Mã</t>
  </si>
  <si>
    <t>Hà Nội</t>
  </si>
  <si>
    <t>Bình Định</t>
  </si>
  <si>
    <t>Khánh Hòa</t>
  </si>
  <si>
    <t>Đồng Nai</t>
  </si>
  <si>
    <t>Lâm Đồng</t>
  </si>
  <si>
    <t>Vũng Tàu</t>
  </si>
  <si>
    <t>Sông Bé</t>
  </si>
  <si>
    <t xml:space="preserve">Vùng </t>
  </si>
  <si>
    <t>Đ giá</t>
  </si>
  <si>
    <t xml:space="preserve">BẢNG THEO DÕI CÁC CUỘC GỌI ĐIỆN THOẠI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</si>
</sst>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h:mm;@"/>
    <numFmt numFmtId="165" formatCode="[$USD]\ #,##0"/>
    <numFmt numFmtId="166" formatCode="[$USD]\ #,##0.00"/>
    <numFmt numFmtId="171" formatCode="\ #,##0\ [$USD]"/>
    <numFmt numFmtId="172" formatCode="\ #,##0.00\ [$USD]"/>
    <numFmt numFmtId="176" formatCode="[$VND]\ 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2" fillId="0" borderId="1" xfId="0" applyFont="1" applyBorder="1" applyAlignment="1">
      <alignment horizontal="center"/>
    </xf>
    <xf numFmtId="3" fontId="0" fillId="0" borderId="0" xfId="0" applyNumberFormat="1"/>
    <xf numFmtId="9" fontId="0" fillId="0" borderId="1" xfId="1" applyNumberFormat="1" applyFont="1" applyBorder="1"/>
    <xf numFmtId="0" fontId="4" fillId="0" borderId="0" xfId="0" applyFont="1"/>
    <xf numFmtId="0" fontId="2" fillId="0" borderId="1" xfId="0" applyFont="1" applyFill="1" applyBorder="1"/>
    <xf numFmtId="0" fontId="2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5" xfId="0" applyBorder="1" applyAlignment="1">
      <alignment horizontal="center"/>
    </xf>
    <xf numFmtId="0" fontId="7" fillId="0" borderId="0" xfId="0" applyFont="1"/>
    <xf numFmtId="0" fontId="0" fillId="0" borderId="1" xfId="0" applyBorder="1" applyAlignment="1">
      <alignment horizontal="right"/>
    </xf>
    <xf numFmtId="164" fontId="0" fillId="0" borderId="1" xfId="0" applyNumberFormat="1" applyBorder="1"/>
    <xf numFmtId="20" fontId="0" fillId="0" borderId="1" xfId="0" applyNumberFormat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8" xfId="0" applyBorder="1"/>
    <xf numFmtId="0" fontId="0" fillId="0" borderId="0" xfId="0" applyBorder="1"/>
    <xf numFmtId="0" fontId="0" fillId="0" borderId="9" xfId="0" applyBorder="1"/>
    <xf numFmtId="171" fontId="0" fillId="0" borderId="1" xfId="0" applyNumberFormat="1" applyBorder="1"/>
    <xf numFmtId="0" fontId="0" fillId="0" borderId="1" xfId="0" applyFill="1" applyBorder="1"/>
    <xf numFmtId="172" fontId="0" fillId="0" borderId="1" xfId="0" applyNumberFormat="1" applyBorder="1"/>
    <xf numFmtId="176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F56C-959A-4BC9-82C3-79F1B77B60F4}">
  <dimension ref="A1:P19"/>
  <sheetViews>
    <sheetView workbookViewId="0">
      <selection activeCell="K15" sqref="K15"/>
    </sheetView>
  </sheetViews>
  <sheetFormatPr defaultRowHeight="15" x14ac:dyDescent="0.25"/>
  <cols>
    <col min="2" max="2" width="13.42578125" bestFit="1" customWidth="1"/>
    <col min="3" max="3" width="10.7109375" customWidth="1"/>
    <col min="4" max="4" width="11.85546875" bestFit="1" customWidth="1"/>
    <col min="5" max="5" width="10.42578125" bestFit="1" customWidth="1"/>
    <col min="6" max="6" width="12.85546875" bestFit="1" customWidth="1"/>
    <col min="9" max="9" width="13.85546875" bestFit="1" customWidth="1"/>
    <col min="11" max="11" width="11.5703125" bestFit="1" customWidth="1"/>
    <col min="12" max="13" width="12.140625" bestFit="1" customWidth="1"/>
  </cols>
  <sheetData>
    <row r="1" spans="1:16" ht="21" x14ac:dyDescent="0.35">
      <c r="A1" s="25" t="s">
        <v>29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3" spans="1:16" x14ac:dyDescent="0.25">
      <c r="A3" s="5" t="s">
        <v>0</v>
      </c>
      <c r="B3" s="5" t="s">
        <v>1</v>
      </c>
      <c r="C3" s="5" t="s">
        <v>2</v>
      </c>
      <c r="D3" s="5" t="s">
        <v>31</v>
      </c>
      <c r="E3" s="5" t="s">
        <v>45</v>
      </c>
      <c r="F3" s="5" t="s">
        <v>3</v>
      </c>
      <c r="G3" s="5" t="s">
        <v>4</v>
      </c>
      <c r="H3" s="5" t="s">
        <v>5</v>
      </c>
      <c r="I3" s="5" t="s">
        <v>48</v>
      </c>
      <c r="J3" s="5" t="s">
        <v>47</v>
      </c>
      <c r="K3" s="5" t="s">
        <v>49</v>
      </c>
      <c r="L3" s="5" t="s">
        <v>46</v>
      </c>
    </row>
    <row r="4" spans="1:16" x14ac:dyDescent="0.25">
      <c r="A4" s="1" t="s">
        <v>6</v>
      </c>
      <c r="B4" s="1" t="s">
        <v>14</v>
      </c>
      <c r="C4" s="1" t="s">
        <v>24</v>
      </c>
      <c r="D4" s="1" t="str">
        <f>IF(LEFT(A4,1)="A","Máy Tính",IF(LEFT(A4,1)="B","Điện Tử",IF(LEFT(A4,1)="C","Xây Dựng","Hóa")))</f>
        <v>Hóa</v>
      </c>
      <c r="E4" s="1">
        <f>IF(MID(A4,2,1)="1",1,IF(MID(A4,2,1)="2",2,3))</f>
        <v>2</v>
      </c>
      <c r="F4" s="1">
        <v>2</v>
      </c>
      <c r="G4" s="1">
        <v>4</v>
      </c>
      <c r="H4" s="1">
        <v>2</v>
      </c>
      <c r="I4" s="4">
        <f>VLOOKUP(LEFT(A4,1),$A$14:$D$19,E4+2)</f>
        <v>14</v>
      </c>
      <c r="J4" s="1">
        <f t="shared" ref="J4:J11" si="0">SUM(F4,G4,H4)</f>
        <v>8</v>
      </c>
      <c r="K4" s="3" t="str">
        <f>IF(J4&gt;=I4,"Đậu","Hỏng")</f>
        <v>Hỏng</v>
      </c>
      <c r="L4" s="1" t="str">
        <f>IF(J4&gt;=HLOOKUP(LEFT(A4,1),$L$14:$P$15,2,0),"Có","")</f>
        <v/>
      </c>
    </row>
    <row r="5" spans="1:16" x14ac:dyDescent="0.25">
      <c r="A5" s="1" t="s">
        <v>7</v>
      </c>
      <c r="B5" s="1" t="s">
        <v>15</v>
      </c>
      <c r="C5" s="1" t="s">
        <v>24</v>
      </c>
      <c r="D5" s="1" t="str">
        <f t="shared" ref="D5:D11" si="1">IF(LEFT(A5,1)="A","Máy Tính",IF(LEFT(A5,1)="B","Điện Tử",IF(LEFT(A5,1)="C","Xây Dựng","Hóa")))</f>
        <v>Xây Dựng</v>
      </c>
      <c r="E5" s="1">
        <f t="shared" ref="E5:E11" si="2">IF(MID(A5,2,1)="1",1,IF(MID(A5,2,1)="2",2,3))</f>
        <v>2</v>
      </c>
      <c r="F5" s="1">
        <v>4</v>
      </c>
      <c r="G5" s="1">
        <v>3</v>
      </c>
      <c r="H5" s="1">
        <v>1</v>
      </c>
      <c r="I5" s="4">
        <f t="shared" ref="I5:I11" si="3">VLOOKUP(LEFT(A5,1),$A$14:$D$19,E5+2)</f>
        <v>16</v>
      </c>
      <c r="J5" s="1">
        <f t="shared" si="0"/>
        <v>8</v>
      </c>
      <c r="K5" s="3" t="str">
        <f t="shared" ref="K5:K11" si="4">IF(J5&gt;=I5,"Đậu","Hỏng")</f>
        <v>Hỏng</v>
      </c>
      <c r="L5" s="1" t="str">
        <f t="shared" ref="L5:L11" si="5">IF(J5&gt;=HLOOKUP(LEFT(A5,1),$L$14:$P$15,2,0),"Có","")</f>
        <v/>
      </c>
    </row>
    <row r="6" spans="1:16" x14ac:dyDescent="0.25">
      <c r="A6" s="1" t="s">
        <v>8</v>
      </c>
      <c r="B6" s="1" t="s">
        <v>16</v>
      </c>
      <c r="C6" s="1" t="s">
        <v>25</v>
      </c>
      <c r="D6" s="1" t="str">
        <f t="shared" si="1"/>
        <v>Điện Tử</v>
      </c>
      <c r="E6" s="1">
        <f t="shared" si="2"/>
        <v>1</v>
      </c>
      <c r="F6" s="1">
        <v>5</v>
      </c>
      <c r="G6" s="1">
        <v>6</v>
      </c>
      <c r="H6" s="1">
        <v>6</v>
      </c>
      <c r="I6" s="4">
        <f t="shared" si="3"/>
        <v>17</v>
      </c>
      <c r="J6" s="1">
        <f t="shared" si="0"/>
        <v>17</v>
      </c>
      <c r="K6" s="3" t="str">
        <f t="shared" si="4"/>
        <v>Đậu</v>
      </c>
      <c r="L6" s="1" t="str">
        <f t="shared" si="5"/>
        <v/>
      </c>
    </row>
    <row r="7" spans="1:16" x14ac:dyDescent="0.25">
      <c r="A7" s="1" t="s">
        <v>9</v>
      </c>
      <c r="B7" s="1" t="s">
        <v>15</v>
      </c>
      <c r="C7" s="1" t="s">
        <v>26</v>
      </c>
      <c r="D7" s="1" t="str">
        <f t="shared" si="1"/>
        <v>Máy Tính</v>
      </c>
      <c r="E7" s="1">
        <f t="shared" si="2"/>
        <v>1</v>
      </c>
      <c r="F7" s="1">
        <v>4</v>
      </c>
      <c r="G7" s="1">
        <v>7</v>
      </c>
      <c r="H7" s="1">
        <v>5</v>
      </c>
      <c r="I7" s="4">
        <f t="shared" si="3"/>
        <v>19</v>
      </c>
      <c r="J7" s="1">
        <f t="shared" si="0"/>
        <v>16</v>
      </c>
      <c r="K7" s="3" t="str">
        <f t="shared" si="4"/>
        <v>Hỏng</v>
      </c>
      <c r="L7" s="1" t="str">
        <f t="shared" si="5"/>
        <v/>
      </c>
    </row>
    <row r="8" spans="1:16" x14ac:dyDescent="0.25">
      <c r="A8" s="1" t="s">
        <v>10</v>
      </c>
      <c r="B8" s="1" t="s">
        <v>17</v>
      </c>
      <c r="C8" s="1" t="s">
        <v>27</v>
      </c>
      <c r="D8" s="1" t="str">
        <f t="shared" si="1"/>
        <v>Máy Tính</v>
      </c>
      <c r="E8" s="1">
        <f t="shared" si="2"/>
        <v>2</v>
      </c>
      <c r="F8" s="1">
        <v>6</v>
      </c>
      <c r="G8" s="1">
        <v>7</v>
      </c>
      <c r="H8" s="1">
        <v>9</v>
      </c>
      <c r="I8" s="4">
        <f t="shared" si="3"/>
        <v>10</v>
      </c>
      <c r="J8" s="1">
        <f t="shared" si="0"/>
        <v>22</v>
      </c>
      <c r="K8" s="3" t="str">
        <f t="shared" si="4"/>
        <v>Đậu</v>
      </c>
      <c r="L8" s="1" t="str">
        <f t="shared" si="5"/>
        <v/>
      </c>
    </row>
    <row r="9" spans="1:16" x14ac:dyDescent="0.25">
      <c r="A9" s="1" t="s">
        <v>11</v>
      </c>
      <c r="B9" s="1" t="s">
        <v>18</v>
      </c>
      <c r="C9" s="1" t="s">
        <v>23</v>
      </c>
      <c r="D9" s="1" t="str">
        <f t="shared" si="1"/>
        <v>Xây Dựng</v>
      </c>
      <c r="E9" s="1">
        <f t="shared" si="2"/>
        <v>1</v>
      </c>
      <c r="F9" s="1">
        <v>8</v>
      </c>
      <c r="G9" s="1">
        <v>6</v>
      </c>
      <c r="H9" s="1">
        <v>7</v>
      </c>
      <c r="I9" s="4">
        <f t="shared" si="3"/>
        <v>15</v>
      </c>
      <c r="J9" s="1">
        <f t="shared" si="0"/>
        <v>21</v>
      </c>
      <c r="K9" s="3" t="str">
        <f t="shared" si="4"/>
        <v>Đậu</v>
      </c>
      <c r="L9" s="1" t="str">
        <f t="shared" si="5"/>
        <v>Có</v>
      </c>
    </row>
    <row r="10" spans="1:16" x14ac:dyDescent="0.25">
      <c r="A10" s="1" t="s">
        <v>12</v>
      </c>
      <c r="B10" s="1" t="s">
        <v>19</v>
      </c>
      <c r="C10" s="1" t="s">
        <v>22</v>
      </c>
      <c r="D10" s="1" t="str">
        <f t="shared" si="1"/>
        <v>Hóa</v>
      </c>
      <c r="E10" s="1">
        <f t="shared" si="2"/>
        <v>1</v>
      </c>
      <c r="F10" s="1">
        <v>9</v>
      </c>
      <c r="G10" s="1">
        <v>7</v>
      </c>
      <c r="H10" s="1">
        <v>8</v>
      </c>
      <c r="I10" s="4">
        <f t="shared" si="3"/>
        <v>13</v>
      </c>
      <c r="J10" s="1">
        <f t="shared" si="0"/>
        <v>24</v>
      </c>
      <c r="K10" s="3" t="str">
        <f t="shared" si="4"/>
        <v>Đậu</v>
      </c>
      <c r="L10" s="1" t="str">
        <f t="shared" si="5"/>
        <v>Có</v>
      </c>
    </row>
    <row r="11" spans="1:16" x14ac:dyDescent="0.25">
      <c r="A11" s="1" t="s">
        <v>13</v>
      </c>
      <c r="B11" s="1" t="s">
        <v>20</v>
      </c>
      <c r="C11" s="1" t="s">
        <v>21</v>
      </c>
      <c r="D11" s="1" t="str">
        <f t="shared" si="1"/>
        <v>Máy Tính</v>
      </c>
      <c r="E11" s="1">
        <f t="shared" si="2"/>
        <v>2</v>
      </c>
      <c r="F11" s="1">
        <v>9</v>
      </c>
      <c r="G11" s="1">
        <v>9</v>
      </c>
      <c r="H11" s="1">
        <v>9</v>
      </c>
      <c r="I11" s="4">
        <f t="shared" si="3"/>
        <v>10</v>
      </c>
      <c r="J11" s="1">
        <f t="shared" si="0"/>
        <v>27</v>
      </c>
      <c r="K11" s="3" t="str">
        <f t="shared" si="4"/>
        <v>Đậu</v>
      </c>
      <c r="L11" s="1" t="str">
        <f t="shared" si="5"/>
        <v>Có</v>
      </c>
    </row>
    <row r="13" spans="1:16" x14ac:dyDescent="0.25">
      <c r="A13" t="s">
        <v>28</v>
      </c>
      <c r="M13" t="s">
        <v>39</v>
      </c>
    </row>
    <row r="14" spans="1:16" ht="16.5" customHeight="1" x14ac:dyDescent="0.25">
      <c r="A14" s="26" t="s">
        <v>30</v>
      </c>
      <c r="B14" s="26" t="s">
        <v>31</v>
      </c>
      <c r="C14" s="3" t="s">
        <v>44</v>
      </c>
      <c r="D14" s="3" t="s">
        <v>44</v>
      </c>
      <c r="L14" s="1" t="s">
        <v>40</v>
      </c>
      <c r="M14" s="1" t="s">
        <v>32</v>
      </c>
      <c r="N14" s="1" t="s">
        <v>33</v>
      </c>
      <c r="O14" s="1" t="s">
        <v>34</v>
      </c>
      <c r="P14" s="1" t="s">
        <v>35</v>
      </c>
    </row>
    <row r="15" spans="1:16" x14ac:dyDescent="0.25">
      <c r="A15" s="26"/>
      <c r="B15" s="26"/>
      <c r="C15" s="3" t="s">
        <v>42</v>
      </c>
      <c r="D15" s="3" t="s">
        <v>43</v>
      </c>
      <c r="L15" s="1" t="s">
        <v>41</v>
      </c>
      <c r="M15" s="1">
        <v>25</v>
      </c>
      <c r="N15" s="1">
        <v>23</v>
      </c>
      <c r="O15" s="1">
        <v>21</v>
      </c>
      <c r="P15" s="1">
        <v>19</v>
      </c>
    </row>
    <row r="16" spans="1:16" x14ac:dyDescent="0.25">
      <c r="A16" s="1" t="s">
        <v>32</v>
      </c>
      <c r="B16" s="1" t="s">
        <v>36</v>
      </c>
      <c r="C16" s="1">
        <v>19</v>
      </c>
      <c r="D16" s="1">
        <v>10</v>
      </c>
    </row>
    <row r="17" spans="1:4" x14ac:dyDescent="0.25">
      <c r="A17" s="1" t="s">
        <v>33</v>
      </c>
      <c r="B17" s="1" t="s">
        <v>37</v>
      </c>
      <c r="C17" s="1">
        <v>17</v>
      </c>
      <c r="D17" s="1">
        <v>18</v>
      </c>
    </row>
    <row r="18" spans="1:4" x14ac:dyDescent="0.25">
      <c r="A18" s="1" t="s">
        <v>34</v>
      </c>
      <c r="B18" s="1" t="s">
        <v>38</v>
      </c>
      <c r="C18" s="1">
        <v>15</v>
      </c>
      <c r="D18" s="1">
        <v>16</v>
      </c>
    </row>
    <row r="19" spans="1:4" x14ac:dyDescent="0.25">
      <c r="A19" s="1" t="s">
        <v>35</v>
      </c>
      <c r="B19" s="1" t="s">
        <v>5</v>
      </c>
      <c r="C19" s="1">
        <v>13</v>
      </c>
      <c r="D19" s="1">
        <v>14</v>
      </c>
    </row>
  </sheetData>
  <mergeCells count="3">
    <mergeCell ref="A1:L1"/>
    <mergeCell ref="A14:A15"/>
    <mergeCell ref="B14:B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D9B0-21EE-4EEB-880F-2A4C4E11EC42}">
  <dimension ref="A1:K19"/>
  <sheetViews>
    <sheetView workbookViewId="0">
      <selection activeCell="E17" sqref="E17"/>
    </sheetView>
  </sheetViews>
  <sheetFormatPr defaultRowHeight="15" x14ac:dyDescent="0.25"/>
  <cols>
    <col min="2" max="2" width="6" customWidth="1"/>
    <col min="3" max="3" width="9.28515625" bestFit="1" customWidth="1"/>
    <col min="4" max="4" width="19.42578125" bestFit="1" customWidth="1"/>
    <col min="5" max="5" width="10.5703125" bestFit="1" customWidth="1"/>
    <col min="7" max="7" width="10.85546875" bestFit="1" customWidth="1"/>
    <col min="8" max="8" width="18" bestFit="1" customWidth="1"/>
    <col min="11" max="11" width="13.85546875" bestFit="1" customWidth="1"/>
  </cols>
  <sheetData>
    <row r="1" spans="1:11" x14ac:dyDescent="0.25">
      <c r="A1" s="8" t="s">
        <v>50</v>
      </c>
      <c r="B1" s="8"/>
      <c r="C1" s="8"/>
      <c r="D1" s="8"/>
      <c r="E1" s="8"/>
      <c r="F1" s="8"/>
    </row>
    <row r="2" spans="1:11" x14ac:dyDescent="0.25">
      <c r="F2" t="s">
        <v>28</v>
      </c>
      <c r="J2" t="s">
        <v>62</v>
      </c>
      <c r="K2" s="6">
        <v>14000</v>
      </c>
    </row>
    <row r="3" spans="1:11" x14ac:dyDescent="0.25">
      <c r="A3" s="5" t="s">
        <v>51</v>
      </c>
      <c r="B3" s="5" t="s">
        <v>59</v>
      </c>
      <c r="C3" s="2" t="s">
        <v>60</v>
      </c>
      <c r="D3" s="2" t="s">
        <v>61</v>
      </c>
      <c r="F3" t="s">
        <v>63</v>
      </c>
      <c r="K3" s="6">
        <v>63000000000</v>
      </c>
    </row>
    <row r="4" spans="1:11" x14ac:dyDescent="0.25">
      <c r="A4" s="3" t="s">
        <v>52</v>
      </c>
      <c r="B4" s="3" t="s">
        <v>26</v>
      </c>
      <c r="C4" s="1">
        <v>850</v>
      </c>
      <c r="D4" s="1">
        <v>960</v>
      </c>
      <c r="F4" s="2" t="s">
        <v>64</v>
      </c>
      <c r="G4" s="2" t="s">
        <v>69</v>
      </c>
      <c r="H4" s="2" t="s">
        <v>70</v>
      </c>
    </row>
    <row r="5" spans="1:11" x14ac:dyDescent="0.25">
      <c r="A5" s="3" t="s">
        <v>58</v>
      </c>
      <c r="B5" s="3" t="s">
        <v>26</v>
      </c>
      <c r="C5" s="1">
        <v>750</v>
      </c>
      <c r="D5" s="1">
        <v>750</v>
      </c>
      <c r="F5" s="1" t="s">
        <v>53</v>
      </c>
      <c r="G5" s="7">
        <v>0.43</v>
      </c>
      <c r="H5" s="22">
        <f>G5*(K3/K2)</f>
        <v>1935000</v>
      </c>
    </row>
    <row r="6" spans="1:11" x14ac:dyDescent="0.25">
      <c r="A6" s="3" t="s">
        <v>55</v>
      </c>
      <c r="B6" s="3" t="s">
        <v>26</v>
      </c>
      <c r="C6" s="1">
        <v>150</v>
      </c>
      <c r="D6" s="1">
        <v>165</v>
      </c>
      <c r="F6" s="1" t="s">
        <v>65</v>
      </c>
      <c r="G6" s="7">
        <v>0.08</v>
      </c>
      <c r="H6" s="22">
        <f>G6*(K3/K2)</f>
        <v>360000</v>
      </c>
    </row>
    <row r="7" spans="1:11" x14ac:dyDescent="0.25">
      <c r="A7" s="3" t="s">
        <v>53</v>
      </c>
      <c r="B7" s="3" t="s">
        <v>26</v>
      </c>
      <c r="C7" s="1">
        <v>250</v>
      </c>
      <c r="D7" s="1">
        <v>260</v>
      </c>
      <c r="F7" s="1" t="s">
        <v>66</v>
      </c>
      <c r="G7" s="7">
        <v>0.18</v>
      </c>
      <c r="H7" s="22">
        <f>G7*(K3/K2)</f>
        <v>810000</v>
      </c>
    </row>
    <row r="8" spans="1:11" x14ac:dyDescent="0.25">
      <c r="A8" s="3" t="s">
        <v>57</v>
      </c>
      <c r="B8" s="3" t="s">
        <v>26</v>
      </c>
      <c r="C8" s="1">
        <v>900</v>
      </c>
      <c r="D8" s="1">
        <v>920</v>
      </c>
      <c r="F8" s="1" t="s">
        <v>67</v>
      </c>
      <c r="G8" s="7">
        <v>0.09</v>
      </c>
      <c r="H8" s="22">
        <f>G8*(K3/K2)</f>
        <v>405000</v>
      </c>
    </row>
    <row r="9" spans="1:11" x14ac:dyDescent="0.25">
      <c r="A9" s="3" t="s">
        <v>54</v>
      </c>
      <c r="B9" s="3" t="s">
        <v>26</v>
      </c>
      <c r="C9" s="1">
        <v>320</v>
      </c>
      <c r="D9" s="1">
        <v>300</v>
      </c>
      <c r="F9" s="1" t="s">
        <v>68</v>
      </c>
      <c r="G9" s="7">
        <v>0.22</v>
      </c>
      <c r="H9" s="22">
        <f>G9*(K3/K2)</f>
        <v>990000</v>
      </c>
    </row>
    <row r="10" spans="1:11" x14ac:dyDescent="0.25">
      <c r="A10" s="3" t="s">
        <v>56</v>
      </c>
      <c r="B10" s="3" t="s">
        <v>26</v>
      </c>
      <c r="C10" s="1">
        <v>15000</v>
      </c>
      <c r="D10" s="1">
        <v>15000</v>
      </c>
    </row>
    <row r="12" spans="1:11" x14ac:dyDescent="0.25">
      <c r="C12" t="s">
        <v>71</v>
      </c>
    </row>
    <row r="13" spans="1:11" ht="40.5" customHeight="1" x14ac:dyDescent="0.25">
      <c r="E13" s="27" t="s">
        <v>72</v>
      </c>
      <c r="F13" s="27"/>
    </row>
    <row r="14" spans="1:11" x14ac:dyDescent="0.25">
      <c r="C14" s="2" t="s">
        <v>64</v>
      </c>
      <c r="D14" s="2" t="s">
        <v>70</v>
      </c>
      <c r="E14" s="2" t="s">
        <v>60</v>
      </c>
      <c r="F14" s="2" t="s">
        <v>61</v>
      </c>
      <c r="G14" s="9" t="s">
        <v>73</v>
      </c>
    </row>
    <row r="15" spans="1:11" x14ac:dyDescent="0.25">
      <c r="C15" s="1" t="s">
        <v>53</v>
      </c>
      <c r="D15" s="22">
        <f>G5*(K3/K2)</f>
        <v>1935000</v>
      </c>
      <c r="E15" s="23">
        <f>D15/C7</f>
        <v>7740</v>
      </c>
      <c r="F15" s="1"/>
      <c r="G15" s="1"/>
    </row>
    <row r="16" spans="1:11" x14ac:dyDescent="0.25">
      <c r="C16" s="1" t="s">
        <v>65</v>
      </c>
      <c r="D16" s="22">
        <f>G6*(K3/K2)</f>
        <v>360000</v>
      </c>
      <c r="E16" s="24">
        <f>D16/C4</f>
        <v>423.52941176470586</v>
      </c>
      <c r="F16" s="1"/>
      <c r="G16" s="1"/>
    </row>
    <row r="17" spans="3:7" x14ac:dyDescent="0.25">
      <c r="C17" s="1" t="s">
        <v>66</v>
      </c>
      <c r="D17" s="22">
        <f>G7*(K3/K2)</f>
        <v>810000</v>
      </c>
      <c r="E17" s="1"/>
      <c r="F17" s="1"/>
      <c r="G17" s="1"/>
    </row>
    <row r="18" spans="3:7" x14ac:dyDescent="0.25">
      <c r="C18" s="1" t="s">
        <v>67</v>
      </c>
      <c r="D18" s="22">
        <f>G8*(K3/K2)</f>
        <v>405000</v>
      </c>
      <c r="E18" s="1"/>
      <c r="F18" s="1"/>
      <c r="G18" s="1"/>
    </row>
    <row r="19" spans="3:7" x14ac:dyDescent="0.25">
      <c r="C19" s="1" t="s">
        <v>68</v>
      </c>
      <c r="D19" s="22">
        <f>G9*(K3/K2)</f>
        <v>990000</v>
      </c>
      <c r="E19" s="1"/>
      <c r="F19" s="1"/>
      <c r="G19" s="1"/>
    </row>
  </sheetData>
  <mergeCells count="1">
    <mergeCell ref="E13:F1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2930-56D8-4D3D-9561-F5735A042E87}">
  <dimension ref="A1:N27"/>
  <sheetViews>
    <sheetView workbookViewId="0">
      <selection activeCell="K3" sqref="K3"/>
    </sheetView>
  </sheetViews>
  <sheetFormatPr defaultRowHeight="15" x14ac:dyDescent="0.25"/>
  <cols>
    <col min="3" max="3" width="10.42578125" bestFit="1" customWidth="1"/>
    <col min="6" max="6" width="8.42578125" customWidth="1"/>
    <col min="7" max="7" width="10.28515625" bestFit="1" customWidth="1"/>
  </cols>
  <sheetData>
    <row r="1" spans="1:14" x14ac:dyDescent="0.25">
      <c r="A1" s="28" t="s">
        <v>115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30" x14ac:dyDescent="0.25">
      <c r="A2" s="5" t="s">
        <v>74</v>
      </c>
      <c r="B2" s="5" t="s">
        <v>75</v>
      </c>
      <c r="C2" s="5" t="s">
        <v>76</v>
      </c>
      <c r="D2" s="5" t="s">
        <v>77</v>
      </c>
      <c r="E2" s="5" t="s">
        <v>78</v>
      </c>
      <c r="F2" s="10" t="s">
        <v>79</v>
      </c>
      <c r="G2" s="5" t="s">
        <v>80</v>
      </c>
      <c r="H2" s="5" t="s">
        <v>81</v>
      </c>
      <c r="I2" s="5" t="s">
        <v>82</v>
      </c>
      <c r="J2" s="5" t="s">
        <v>83</v>
      </c>
      <c r="K2" s="5" t="s">
        <v>84</v>
      </c>
      <c r="L2" s="10" t="s">
        <v>85</v>
      </c>
      <c r="M2" s="10" t="s">
        <v>86</v>
      </c>
      <c r="N2" s="5" t="s">
        <v>87</v>
      </c>
    </row>
    <row r="3" spans="1:14" x14ac:dyDescent="0.25">
      <c r="A3" s="1">
        <v>1</v>
      </c>
      <c r="B3" s="1" t="s">
        <v>88</v>
      </c>
      <c r="C3" s="1" t="s">
        <v>95</v>
      </c>
      <c r="D3" s="1" t="s">
        <v>102</v>
      </c>
      <c r="E3" s="1">
        <v>120</v>
      </c>
      <c r="F3" s="1" t="s">
        <v>107</v>
      </c>
      <c r="G3" s="17" t="str">
        <f>VLOOKUP(F3,$B$19:$C$27,2,0)</f>
        <v>TS</v>
      </c>
      <c r="H3" s="1">
        <v>60</v>
      </c>
      <c r="I3" s="17" t="str">
        <f>IF(E3&lt;=80,"1",IF(E3&lt;=200,"1.2","1.5"))</f>
        <v>1.2</v>
      </c>
      <c r="J3" s="1">
        <f>IF(LEFT(D3,1)="D",1.5,1)</f>
        <v>1.5</v>
      </c>
      <c r="K3" s="1">
        <f>IF(MID(D3,2,1)="X",1.4,1)</f>
        <v>1</v>
      </c>
      <c r="L3" s="1">
        <f>IF(RIGHT(D3,1)="C",1.5,1)</f>
        <v>1</v>
      </c>
      <c r="M3" s="1">
        <f>H3*(I3+J3+K3+L3-3)</f>
        <v>102.00000000000001</v>
      </c>
      <c r="N3" s="1">
        <f>IF(G3="GV",M3*H20,IF(G3="GVC",M3*H21,IF(G3="PTS",M3*H22,IF(G3="TG",M3*H23,M3*40000))))</f>
        <v>4080000.0000000005</v>
      </c>
    </row>
    <row r="4" spans="1:14" x14ac:dyDescent="0.25">
      <c r="A4" s="1">
        <v>2</v>
      </c>
      <c r="B4" s="1" t="s">
        <v>89</v>
      </c>
      <c r="C4" s="1" t="s">
        <v>96</v>
      </c>
      <c r="D4" s="1" t="s">
        <v>103</v>
      </c>
      <c r="E4" s="1">
        <v>50</v>
      </c>
      <c r="F4" s="1" t="s">
        <v>107</v>
      </c>
      <c r="G4" s="17" t="str">
        <f t="shared" ref="G4:G17" si="0">VLOOKUP(F4,$B$19:$C$27,2,0)</f>
        <v>TS</v>
      </c>
      <c r="H4" s="1">
        <v>60</v>
      </c>
      <c r="I4" s="17" t="str">
        <f t="shared" ref="I4:I17" si="1">IF(E4&lt;=80,"1",IF(E4&lt;=200,"1.2","1.5"))</f>
        <v>1</v>
      </c>
      <c r="J4" s="1">
        <f t="shared" ref="J4:J17" si="2">IF(LEFT(D4,1)="D",1.5,1)</f>
        <v>1</v>
      </c>
      <c r="K4" s="1">
        <f t="shared" ref="K4:K17" si="3">IF(MID(D4,2,1)="X",1.4,1)</f>
        <v>1</v>
      </c>
      <c r="L4" s="1">
        <f t="shared" ref="L4:L17" si="4">IF(RIGHT(D4,1)="C",1.5,1)</f>
        <v>1</v>
      </c>
      <c r="M4" s="1">
        <f t="shared" ref="M4:M17" si="5">H4*(I4+J4+K4+L4-3)</f>
        <v>60</v>
      </c>
      <c r="N4" s="1">
        <f>IF(G4="GV",M4*H20,IF(G4="GVC",M4*H21,IF(G4="PTS",M4*H22,IF(G4="TG",M4*H23,M4*40000))))</f>
        <v>2400000</v>
      </c>
    </row>
    <row r="5" spans="1:14" x14ac:dyDescent="0.25">
      <c r="A5" s="1">
        <v>3</v>
      </c>
      <c r="B5" s="1" t="s">
        <v>88</v>
      </c>
      <c r="C5" s="1" t="s">
        <v>95</v>
      </c>
      <c r="D5" s="1" t="s">
        <v>102</v>
      </c>
      <c r="E5" s="1">
        <v>145</v>
      </c>
      <c r="F5" s="1" t="s">
        <v>108</v>
      </c>
      <c r="G5" s="17" t="str">
        <f t="shared" si="0"/>
        <v>TG</v>
      </c>
      <c r="H5" s="1">
        <v>60</v>
      </c>
      <c r="I5" s="17" t="str">
        <f t="shared" si="1"/>
        <v>1.2</v>
      </c>
      <c r="J5" s="1">
        <f t="shared" si="2"/>
        <v>1.5</v>
      </c>
      <c r="K5" s="1">
        <f t="shared" si="3"/>
        <v>1</v>
      </c>
      <c r="L5" s="1">
        <f t="shared" si="4"/>
        <v>1</v>
      </c>
      <c r="M5" s="1">
        <f t="shared" si="5"/>
        <v>102.00000000000001</v>
      </c>
      <c r="N5" s="1">
        <f>IF(G5="GV",M5*H20,IF(G5="GVC",M5*H21,IF(G5="PTS",M5*H22,IF(G5="TG",M5*H23,M5*40000))))</f>
        <v>1836000.0000000002</v>
      </c>
    </row>
    <row r="6" spans="1:14" x14ac:dyDescent="0.25">
      <c r="A6" s="1">
        <v>4</v>
      </c>
      <c r="B6" s="1" t="s">
        <v>88</v>
      </c>
      <c r="C6" s="1" t="s">
        <v>97</v>
      </c>
      <c r="D6" s="1" t="s">
        <v>104</v>
      </c>
      <c r="E6" s="1">
        <v>125</v>
      </c>
      <c r="F6" s="1" t="s">
        <v>109</v>
      </c>
      <c r="G6" s="17" t="str">
        <f t="shared" si="0"/>
        <v>GVC</v>
      </c>
      <c r="H6" s="1">
        <v>60</v>
      </c>
      <c r="I6" s="17" t="str">
        <f t="shared" si="1"/>
        <v>1.2</v>
      </c>
      <c r="J6" s="1">
        <f t="shared" si="2"/>
        <v>1</v>
      </c>
      <c r="K6" s="1">
        <f t="shared" si="3"/>
        <v>1.4</v>
      </c>
      <c r="L6" s="1">
        <f t="shared" si="4"/>
        <v>1</v>
      </c>
      <c r="M6" s="1">
        <f t="shared" si="5"/>
        <v>95.999999999999972</v>
      </c>
      <c r="N6" s="1">
        <f>IF(G6="GV",M6*H20,IF(G6="GVC",M6*H21,IF(G6="PTS",M6*H22,IF(G6="TG",M6*H23,M6*40000))))</f>
        <v>2495999.9999999991</v>
      </c>
    </row>
    <row r="7" spans="1:14" x14ac:dyDescent="0.25">
      <c r="A7" s="1">
        <v>5</v>
      </c>
      <c r="B7" s="1" t="s">
        <v>90</v>
      </c>
      <c r="C7" s="1" t="s">
        <v>98</v>
      </c>
      <c r="D7" s="1" t="s">
        <v>103</v>
      </c>
      <c r="E7" s="1">
        <v>30</v>
      </c>
      <c r="F7" s="1" t="s">
        <v>110</v>
      </c>
      <c r="G7" s="17" t="str">
        <f t="shared" si="0"/>
        <v>PTS</v>
      </c>
      <c r="H7" s="1">
        <v>90</v>
      </c>
      <c r="I7" s="17" t="str">
        <f t="shared" si="1"/>
        <v>1</v>
      </c>
      <c r="J7" s="1">
        <f t="shared" si="2"/>
        <v>1</v>
      </c>
      <c r="K7" s="1">
        <f t="shared" si="3"/>
        <v>1</v>
      </c>
      <c r="L7" s="1">
        <f t="shared" si="4"/>
        <v>1</v>
      </c>
      <c r="M7" s="1">
        <f t="shared" si="5"/>
        <v>90</v>
      </c>
      <c r="N7" s="1">
        <f>IF(G7="GV",M7*H20,IF(G7="GVC",M7*H21,IF(G7="PTS",M7*H22,IF(G7="TG",M7*H23,M7*40000))))</f>
        <v>2700000</v>
      </c>
    </row>
    <row r="8" spans="1:14" x14ac:dyDescent="0.25">
      <c r="A8" s="1">
        <v>6</v>
      </c>
      <c r="B8" s="1" t="s">
        <v>91</v>
      </c>
      <c r="C8" s="1" t="s">
        <v>98</v>
      </c>
      <c r="D8" s="1" t="s">
        <v>103</v>
      </c>
      <c r="E8" s="1">
        <v>30</v>
      </c>
      <c r="F8" s="1" t="s">
        <v>111</v>
      </c>
      <c r="G8" s="17" t="str">
        <f t="shared" si="0"/>
        <v>TG</v>
      </c>
      <c r="H8" s="1">
        <v>30</v>
      </c>
      <c r="I8" s="17" t="str">
        <f t="shared" si="1"/>
        <v>1</v>
      </c>
      <c r="J8" s="1">
        <f t="shared" si="2"/>
        <v>1</v>
      </c>
      <c r="K8" s="1">
        <f t="shared" si="3"/>
        <v>1</v>
      </c>
      <c r="L8" s="1">
        <f t="shared" si="4"/>
        <v>1</v>
      </c>
      <c r="M8" s="1">
        <f t="shared" si="5"/>
        <v>30</v>
      </c>
      <c r="N8" s="1">
        <f>IF(G8="GV",M8*H20,IF(G8="GVC",M8*H21,IF(G8="PTS",M8*H22,IF(G8="TG",M8*H23,M8*40000))))</f>
        <v>540000</v>
      </c>
    </row>
    <row r="9" spans="1:14" x14ac:dyDescent="0.25">
      <c r="A9" s="1">
        <v>7</v>
      </c>
      <c r="B9" s="1" t="s">
        <v>89</v>
      </c>
      <c r="C9" s="1" t="s">
        <v>98</v>
      </c>
      <c r="D9" s="1" t="s">
        <v>103</v>
      </c>
      <c r="E9" s="1">
        <v>30</v>
      </c>
      <c r="F9" s="1" t="s">
        <v>108</v>
      </c>
      <c r="G9" s="17" t="str">
        <f t="shared" si="0"/>
        <v>TG</v>
      </c>
      <c r="H9" s="1">
        <v>45</v>
      </c>
      <c r="I9" s="17" t="str">
        <f t="shared" si="1"/>
        <v>1</v>
      </c>
      <c r="J9" s="1">
        <f t="shared" si="2"/>
        <v>1</v>
      </c>
      <c r="K9" s="1">
        <f t="shared" si="3"/>
        <v>1</v>
      </c>
      <c r="L9" s="1">
        <f t="shared" si="4"/>
        <v>1</v>
      </c>
      <c r="M9" s="1">
        <f t="shared" si="5"/>
        <v>45</v>
      </c>
      <c r="N9" s="1">
        <f>IF(G9="GV",M9*H20,IF(G9="GVC",M9*H21,IF(G9="PTS",M9*H22,IF(G9="TG",M9*H23,M9*40000))))</f>
        <v>810000</v>
      </c>
    </row>
    <row r="10" spans="1:14" x14ac:dyDescent="0.25">
      <c r="A10" s="1">
        <v>8</v>
      </c>
      <c r="B10" s="1" t="s">
        <v>88</v>
      </c>
      <c r="C10" s="1" t="s">
        <v>95</v>
      </c>
      <c r="D10" s="1" t="s">
        <v>102</v>
      </c>
      <c r="E10" s="1">
        <v>89</v>
      </c>
      <c r="F10" s="1" t="s">
        <v>112</v>
      </c>
      <c r="G10" s="17" t="str">
        <f t="shared" si="0"/>
        <v>GV</v>
      </c>
      <c r="H10" s="1">
        <v>60</v>
      </c>
      <c r="I10" s="17" t="str">
        <f t="shared" si="1"/>
        <v>1.2</v>
      </c>
      <c r="J10" s="1">
        <f t="shared" si="2"/>
        <v>1.5</v>
      </c>
      <c r="K10" s="1">
        <f t="shared" si="3"/>
        <v>1</v>
      </c>
      <c r="L10" s="1">
        <f t="shared" si="4"/>
        <v>1</v>
      </c>
      <c r="M10" s="1">
        <f t="shared" si="5"/>
        <v>102.00000000000001</v>
      </c>
      <c r="N10" s="1">
        <f>IF(G10="GV",M10*H20,IF(G10="GVC",M10*H21,IF(G10="PTS",M10*H22,IF(G10="TG",M10*H23,M10*40000))))</f>
        <v>2244000.0000000005</v>
      </c>
    </row>
    <row r="11" spans="1:14" x14ac:dyDescent="0.25">
      <c r="A11" s="1">
        <v>9</v>
      </c>
      <c r="B11" s="1" t="s">
        <v>89</v>
      </c>
      <c r="C11" s="1" t="s">
        <v>99</v>
      </c>
      <c r="D11" s="1" t="s">
        <v>103</v>
      </c>
      <c r="E11" s="1">
        <v>60</v>
      </c>
      <c r="F11" s="1" t="s">
        <v>112</v>
      </c>
      <c r="G11" s="17" t="str">
        <f t="shared" si="0"/>
        <v>GV</v>
      </c>
      <c r="H11" s="1">
        <v>45</v>
      </c>
      <c r="I11" s="17" t="str">
        <f t="shared" si="1"/>
        <v>1</v>
      </c>
      <c r="J11" s="1">
        <f t="shared" si="2"/>
        <v>1</v>
      </c>
      <c r="K11" s="1">
        <f t="shared" si="3"/>
        <v>1</v>
      </c>
      <c r="L11" s="1">
        <f t="shared" si="4"/>
        <v>1</v>
      </c>
      <c r="M11" s="1">
        <f t="shared" si="5"/>
        <v>45</v>
      </c>
      <c r="N11" s="1">
        <f>IF(G11="GV",M11*H20,IF(G11="GVC",M11*H21,IF(G11="PTS",M11*H22,IF(G11="TG",M11*H23,M11*40000))))</f>
        <v>990000</v>
      </c>
    </row>
    <row r="12" spans="1:14" x14ac:dyDescent="0.25">
      <c r="A12" s="1">
        <v>10</v>
      </c>
      <c r="B12" s="1" t="s">
        <v>88</v>
      </c>
      <c r="C12" s="1" t="s">
        <v>97</v>
      </c>
      <c r="D12" s="1" t="s">
        <v>103</v>
      </c>
      <c r="E12" s="1">
        <v>126</v>
      </c>
      <c r="F12" s="1" t="s">
        <v>113</v>
      </c>
      <c r="G12" s="17" t="str">
        <f t="shared" si="0"/>
        <v>TG</v>
      </c>
      <c r="H12" s="1">
        <v>60</v>
      </c>
      <c r="I12" s="17" t="str">
        <f t="shared" si="1"/>
        <v>1.2</v>
      </c>
      <c r="J12" s="1">
        <f t="shared" si="2"/>
        <v>1</v>
      </c>
      <c r="K12" s="1">
        <f t="shared" si="3"/>
        <v>1</v>
      </c>
      <c r="L12" s="1">
        <f t="shared" si="4"/>
        <v>1</v>
      </c>
      <c r="M12" s="1">
        <f t="shared" si="5"/>
        <v>72.000000000000014</v>
      </c>
      <c r="N12" s="1">
        <f>IF(G12="GV",M12*H20,IF(G12="GVC",M12*H21,IF(G12="PTS",M12*H22,IF(G12="TG",M12*H23,M12*40000))))</f>
        <v>1296000.0000000002</v>
      </c>
    </row>
    <row r="13" spans="1:14" x14ac:dyDescent="0.25">
      <c r="A13" s="1">
        <v>11</v>
      </c>
      <c r="B13" s="1" t="s">
        <v>92</v>
      </c>
      <c r="C13" s="1" t="s">
        <v>98</v>
      </c>
      <c r="D13" s="1" t="s">
        <v>103</v>
      </c>
      <c r="E13" s="1">
        <v>30</v>
      </c>
      <c r="F13" s="1" t="s">
        <v>113</v>
      </c>
      <c r="G13" s="17" t="str">
        <f t="shared" si="0"/>
        <v>TG</v>
      </c>
      <c r="H13" s="1">
        <v>90</v>
      </c>
      <c r="I13" s="17" t="str">
        <f t="shared" si="1"/>
        <v>1</v>
      </c>
      <c r="J13" s="1">
        <f t="shared" si="2"/>
        <v>1</v>
      </c>
      <c r="K13" s="1">
        <f t="shared" si="3"/>
        <v>1</v>
      </c>
      <c r="L13" s="1">
        <f t="shared" si="4"/>
        <v>1</v>
      </c>
      <c r="M13" s="1">
        <f t="shared" si="5"/>
        <v>90</v>
      </c>
      <c r="N13" s="1">
        <f>IF(G13="GV",M13*H20,IF(G13="GVC",M13*H21,IF(G13="PTS",M13*H22,IF(G13="TG",M13*H23,M13*40000))))</f>
        <v>1620000</v>
      </c>
    </row>
    <row r="14" spans="1:14" x14ac:dyDescent="0.25">
      <c r="A14" s="1">
        <v>12</v>
      </c>
      <c r="B14" s="1" t="s">
        <v>93</v>
      </c>
      <c r="C14" s="1" t="s">
        <v>98</v>
      </c>
      <c r="D14" s="1" t="s">
        <v>103</v>
      </c>
      <c r="E14" s="1">
        <v>30</v>
      </c>
      <c r="F14" s="1" t="s">
        <v>114</v>
      </c>
      <c r="G14" s="17" t="str">
        <f t="shared" si="0"/>
        <v>GV</v>
      </c>
      <c r="H14" s="1">
        <v>75</v>
      </c>
      <c r="I14" s="17" t="str">
        <f t="shared" si="1"/>
        <v>1</v>
      </c>
      <c r="J14" s="1">
        <f t="shared" si="2"/>
        <v>1</v>
      </c>
      <c r="K14" s="1">
        <f t="shared" si="3"/>
        <v>1</v>
      </c>
      <c r="L14" s="1">
        <f t="shared" si="4"/>
        <v>1</v>
      </c>
      <c r="M14" s="1">
        <f t="shared" si="5"/>
        <v>75</v>
      </c>
      <c r="N14" s="1">
        <f>IF(G14="GV",M14*H20,IF(G14="GVC",M14*H21,IF(G14="PTS",M14*H22,IF(G14="TG",M14*H23,M14*40000))))</f>
        <v>1650000</v>
      </c>
    </row>
    <row r="15" spans="1:14" x14ac:dyDescent="0.25">
      <c r="A15" s="1">
        <v>13</v>
      </c>
      <c r="B15" s="1" t="s">
        <v>89</v>
      </c>
      <c r="C15" s="1" t="s">
        <v>98</v>
      </c>
      <c r="D15" s="1" t="s">
        <v>103</v>
      </c>
      <c r="E15" s="1">
        <v>30</v>
      </c>
      <c r="F15" s="1" t="s">
        <v>114</v>
      </c>
      <c r="G15" s="17" t="str">
        <f t="shared" si="0"/>
        <v>GV</v>
      </c>
      <c r="H15" s="1">
        <v>75</v>
      </c>
      <c r="I15" s="17" t="str">
        <f t="shared" si="1"/>
        <v>1</v>
      </c>
      <c r="J15" s="1">
        <f t="shared" si="2"/>
        <v>1</v>
      </c>
      <c r="K15" s="1">
        <f t="shared" si="3"/>
        <v>1</v>
      </c>
      <c r="L15" s="1">
        <f t="shared" si="4"/>
        <v>1</v>
      </c>
      <c r="M15" s="1">
        <f t="shared" si="5"/>
        <v>75</v>
      </c>
      <c r="N15" s="1">
        <f>IF(G15="GV",M15*H20,IF(G15="GVC",M15*H21,IF(G15="PTS",M15*H22,IF(G15="TG",M15*H23,M15*40000))))</f>
        <v>1650000</v>
      </c>
    </row>
    <row r="16" spans="1:14" x14ac:dyDescent="0.25">
      <c r="A16" s="1">
        <v>14</v>
      </c>
      <c r="B16" s="1" t="s">
        <v>94</v>
      </c>
      <c r="C16" s="1" t="s">
        <v>100</v>
      </c>
      <c r="D16" s="1" t="s">
        <v>105</v>
      </c>
      <c r="E16" s="1">
        <v>82</v>
      </c>
      <c r="F16" s="1" t="s">
        <v>110</v>
      </c>
      <c r="G16" s="17" t="str">
        <f t="shared" si="0"/>
        <v>PTS</v>
      </c>
      <c r="H16" s="1">
        <v>60</v>
      </c>
      <c r="I16" s="17" t="str">
        <f t="shared" si="1"/>
        <v>1.2</v>
      </c>
      <c r="J16" s="1">
        <f t="shared" si="2"/>
        <v>1</v>
      </c>
      <c r="K16" s="1">
        <f t="shared" si="3"/>
        <v>1.4</v>
      </c>
      <c r="L16" s="1">
        <f t="shared" si="4"/>
        <v>1.5</v>
      </c>
      <c r="M16" s="1">
        <f t="shared" si="5"/>
        <v>125.99999999999997</v>
      </c>
      <c r="N16" s="1">
        <f>IF(G16="GV",M16*H20,IF(G16="GVC",M16*H21,IF(G16="PTS",M16*H22,IF(G16="TG",M16*H23,M16*40000))))</f>
        <v>3779999.9999999991</v>
      </c>
    </row>
    <row r="17" spans="1:14" x14ac:dyDescent="0.25">
      <c r="A17" s="1">
        <v>15</v>
      </c>
      <c r="B17" s="1" t="s">
        <v>89</v>
      </c>
      <c r="C17" s="1" t="s">
        <v>101</v>
      </c>
      <c r="D17" s="1" t="s">
        <v>106</v>
      </c>
      <c r="E17" s="1">
        <v>160</v>
      </c>
      <c r="F17" s="1" t="s">
        <v>112</v>
      </c>
      <c r="G17" s="17" t="str">
        <f t="shared" si="0"/>
        <v>GV</v>
      </c>
      <c r="H17" s="1">
        <v>45</v>
      </c>
      <c r="I17" s="17" t="str">
        <f t="shared" si="1"/>
        <v>1.2</v>
      </c>
      <c r="J17" s="1">
        <f t="shared" si="2"/>
        <v>1</v>
      </c>
      <c r="K17" s="1">
        <f t="shared" si="3"/>
        <v>1</v>
      </c>
      <c r="L17" s="1">
        <f t="shared" si="4"/>
        <v>1.5</v>
      </c>
      <c r="M17" s="1">
        <f>H17*(I17+J17+K17+L17-3)</f>
        <v>76.500000000000014</v>
      </c>
      <c r="N17" s="1">
        <f>IF(G17="GV",M17*H20,IF(G17="GVC",M17*H21,IF(G17="PTS",M17*H22,IF(G17="TG",M17*H23,M17*40000))))</f>
        <v>1683000.0000000002</v>
      </c>
    </row>
    <row r="19" spans="1:14" x14ac:dyDescent="0.25">
      <c r="B19" s="34" t="s">
        <v>2</v>
      </c>
      <c r="C19" s="35" t="s">
        <v>80</v>
      </c>
      <c r="G19" s="35" t="s">
        <v>80</v>
      </c>
      <c r="H19" s="34" t="s">
        <v>121</v>
      </c>
    </row>
    <row r="20" spans="1:14" x14ac:dyDescent="0.25">
      <c r="B20" s="1" t="s">
        <v>107</v>
      </c>
      <c r="C20" s="1" t="s">
        <v>116</v>
      </c>
      <c r="G20" s="1" t="s">
        <v>119</v>
      </c>
      <c r="H20" s="1">
        <v>22000</v>
      </c>
    </row>
    <row r="21" spans="1:14" x14ac:dyDescent="0.25">
      <c r="B21" s="1" t="s">
        <v>110</v>
      </c>
      <c r="C21" s="1" t="s">
        <v>117</v>
      </c>
      <c r="G21" s="1" t="s">
        <v>118</v>
      </c>
      <c r="H21" s="1">
        <v>26000</v>
      </c>
    </row>
    <row r="22" spans="1:14" x14ac:dyDescent="0.25">
      <c r="B22" s="1" t="s">
        <v>109</v>
      </c>
      <c r="C22" s="1" t="s">
        <v>118</v>
      </c>
      <c r="G22" s="1" t="s">
        <v>117</v>
      </c>
      <c r="H22" s="1">
        <v>30000</v>
      </c>
    </row>
    <row r="23" spans="1:14" x14ac:dyDescent="0.25">
      <c r="B23" s="1" t="s">
        <v>114</v>
      </c>
      <c r="C23" s="1" t="s">
        <v>119</v>
      </c>
      <c r="G23" s="1" t="s">
        <v>120</v>
      </c>
      <c r="H23" s="1">
        <v>18000</v>
      </c>
    </row>
    <row r="24" spans="1:14" x14ac:dyDescent="0.25">
      <c r="B24" s="1" t="s">
        <v>111</v>
      </c>
      <c r="C24" s="1" t="s">
        <v>120</v>
      </c>
    </row>
    <row r="25" spans="1:14" x14ac:dyDescent="0.25">
      <c r="B25" s="1" t="s">
        <v>112</v>
      </c>
      <c r="C25" s="1" t="s">
        <v>119</v>
      </c>
    </row>
    <row r="26" spans="1:14" x14ac:dyDescent="0.25">
      <c r="B26" s="1" t="s">
        <v>113</v>
      </c>
      <c r="C26" s="1" t="s">
        <v>120</v>
      </c>
    </row>
    <row r="27" spans="1:14" x14ac:dyDescent="0.25">
      <c r="B27" s="1" t="s">
        <v>108</v>
      </c>
      <c r="C27" s="1" t="s">
        <v>120</v>
      </c>
    </row>
  </sheetData>
  <mergeCells count="1">
    <mergeCell ref="A1:N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C84C-A5C2-4DAE-8530-634E1B25F205}">
  <dimension ref="A1:K21"/>
  <sheetViews>
    <sheetView workbookViewId="0">
      <selection activeCell="D6" sqref="D6"/>
    </sheetView>
  </sheetViews>
  <sheetFormatPr defaultRowHeight="15" x14ac:dyDescent="0.25"/>
  <cols>
    <col min="2" max="2" width="18.140625" bestFit="1" customWidth="1"/>
    <col min="4" max="4" width="10.42578125" bestFit="1" customWidth="1"/>
  </cols>
  <sheetData>
    <row r="1" spans="1:11" x14ac:dyDescent="0.25">
      <c r="A1" s="29" t="s">
        <v>143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x14ac:dyDescent="0.25">
      <c r="A2" s="29" t="s">
        <v>144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x14ac:dyDescent="0.25">
      <c r="A3" s="30" t="s">
        <v>143</v>
      </c>
      <c r="B3" s="30"/>
      <c r="C3" s="30"/>
      <c r="D3" s="30"/>
      <c r="E3" s="30"/>
      <c r="F3" s="30"/>
      <c r="G3" s="30"/>
      <c r="H3" s="30"/>
      <c r="I3" s="30"/>
      <c r="J3" s="30"/>
      <c r="K3" s="30"/>
    </row>
    <row r="5" spans="1:11" x14ac:dyDescent="0.25">
      <c r="A5" s="3" t="s">
        <v>74</v>
      </c>
      <c r="B5" s="15" t="s">
        <v>122</v>
      </c>
      <c r="C5" s="3" t="s">
        <v>123</v>
      </c>
      <c r="D5" s="21" t="s">
        <v>124</v>
      </c>
      <c r="E5" s="3" t="s">
        <v>125</v>
      </c>
      <c r="F5" s="3" t="s">
        <v>126</v>
      </c>
      <c r="G5" s="21" t="s">
        <v>127</v>
      </c>
      <c r="H5" s="21" t="s">
        <v>142</v>
      </c>
      <c r="I5" s="3" t="s">
        <v>128</v>
      </c>
      <c r="J5" s="3" t="s">
        <v>129</v>
      </c>
      <c r="K5" s="3" t="s">
        <v>130</v>
      </c>
    </row>
    <row r="6" spans="1:11" x14ac:dyDescent="0.25">
      <c r="A6" s="11">
        <v>1</v>
      </c>
      <c r="B6" s="13" t="s">
        <v>131</v>
      </c>
      <c r="C6" s="38" t="s">
        <v>32</v>
      </c>
      <c r="D6" s="14">
        <f>IF(C6="A",100,IF(C6="B",500,700))</f>
        <v>100</v>
      </c>
      <c r="E6" s="12">
        <v>1200</v>
      </c>
      <c r="F6" s="36">
        <v>1645</v>
      </c>
      <c r="G6" s="14">
        <f>F6-E6</f>
        <v>445</v>
      </c>
      <c r="H6" s="11"/>
      <c r="I6" s="12"/>
      <c r="J6" s="13"/>
      <c r="K6" s="12"/>
    </row>
    <row r="7" spans="1:11" x14ac:dyDescent="0.25">
      <c r="A7" s="11">
        <v>2</v>
      </c>
      <c r="B7" s="14" t="s">
        <v>132</v>
      </c>
      <c r="C7" s="14" t="s">
        <v>32</v>
      </c>
      <c r="D7" s="11">
        <f t="shared" ref="D7:D15" si="0">IF(C7="A",100,IF(C7="B",500,700))</f>
        <v>100</v>
      </c>
      <c r="E7" s="14">
        <v>2400</v>
      </c>
      <c r="F7" s="37">
        <v>2541</v>
      </c>
      <c r="G7" s="14">
        <f t="shared" ref="G7:G15" si="1">F7-E7</f>
        <v>141</v>
      </c>
      <c r="H7" s="11"/>
      <c r="I7" s="11"/>
      <c r="J7" s="14"/>
      <c r="K7" s="11"/>
    </row>
    <row r="8" spans="1:11" x14ac:dyDescent="0.25">
      <c r="A8" s="11">
        <v>3</v>
      </c>
      <c r="B8" s="14" t="s">
        <v>133</v>
      </c>
      <c r="C8" s="14" t="s">
        <v>33</v>
      </c>
      <c r="D8" s="11">
        <f t="shared" si="0"/>
        <v>500</v>
      </c>
      <c r="E8" s="14">
        <v>2561</v>
      </c>
      <c r="F8" s="37">
        <v>2746</v>
      </c>
      <c r="G8" s="14">
        <f t="shared" si="1"/>
        <v>185</v>
      </c>
      <c r="H8" s="11"/>
      <c r="I8" s="11"/>
      <c r="J8" s="14"/>
      <c r="K8" s="11"/>
    </row>
    <row r="9" spans="1:11" x14ac:dyDescent="0.25">
      <c r="A9" s="11">
        <v>4</v>
      </c>
      <c r="B9" s="14" t="s">
        <v>134</v>
      </c>
      <c r="C9" s="14" t="s">
        <v>33</v>
      </c>
      <c r="D9" s="11">
        <f t="shared" si="0"/>
        <v>500</v>
      </c>
      <c r="E9" s="14">
        <v>2478</v>
      </c>
      <c r="F9" s="37">
        <v>2600</v>
      </c>
      <c r="G9" s="14">
        <f t="shared" si="1"/>
        <v>122</v>
      </c>
      <c r="H9" s="11"/>
      <c r="I9" s="11"/>
      <c r="J9" s="14"/>
      <c r="K9" s="11"/>
    </row>
    <row r="10" spans="1:11" x14ac:dyDescent="0.25">
      <c r="A10" s="11">
        <v>5</v>
      </c>
      <c r="B10" s="14" t="s">
        <v>135</v>
      </c>
      <c r="C10" s="14" t="s">
        <v>34</v>
      </c>
      <c r="D10" s="11">
        <f t="shared" si="0"/>
        <v>700</v>
      </c>
      <c r="E10" s="14">
        <v>1578</v>
      </c>
      <c r="F10" s="37">
        <v>1649</v>
      </c>
      <c r="G10" s="14">
        <f t="shared" si="1"/>
        <v>71</v>
      </c>
      <c r="H10" s="11"/>
      <c r="I10" s="11"/>
      <c r="J10" s="14"/>
      <c r="K10" s="11"/>
    </row>
    <row r="11" spans="1:11" x14ac:dyDescent="0.25">
      <c r="A11" s="11">
        <v>6</v>
      </c>
      <c r="B11" s="14" t="s">
        <v>136</v>
      </c>
      <c r="C11" s="14" t="s">
        <v>32</v>
      </c>
      <c r="D11" s="11">
        <f t="shared" si="0"/>
        <v>100</v>
      </c>
      <c r="E11" s="14">
        <v>7894</v>
      </c>
      <c r="F11" s="37">
        <v>8100</v>
      </c>
      <c r="G11" s="14">
        <f t="shared" si="1"/>
        <v>206</v>
      </c>
      <c r="H11" s="11"/>
      <c r="I11" s="11"/>
      <c r="J11" s="14"/>
      <c r="K11" s="11"/>
    </row>
    <row r="12" spans="1:11" x14ac:dyDescent="0.25">
      <c r="A12" s="11">
        <v>7</v>
      </c>
      <c r="B12" s="14" t="s">
        <v>137</v>
      </c>
      <c r="C12" s="14" t="s">
        <v>34</v>
      </c>
      <c r="D12" s="11">
        <f t="shared" si="0"/>
        <v>700</v>
      </c>
      <c r="E12" s="14">
        <v>1256</v>
      </c>
      <c r="F12" s="37">
        <v>1379</v>
      </c>
      <c r="G12" s="14">
        <f t="shared" si="1"/>
        <v>123</v>
      </c>
      <c r="H12" s="11"/>
      <c r="I12" s="11"/>
      <c r="J12" s="14"/>
      <c r="K12" s="11"/>
    </row>
    <row r="13" spans="1:11" x14ac:dyDescent="0.25">
      <c r="A13" s="11">
        <v>8</v>
      </c>
      <c r="B13" s="14" t="s">
        <v>138</v>
      </c>
      <c r="C13" s="14" t="s">
        <v>33</v>
      </c>
      <c r="D13" s="11">
        <f t="shared" si="0"/>
        <v>500</v>
      </c>
      <c r="E13" s="14">
        <v>5678</v>
      </c>
      <c r="F13" s="37">
        <v>5800</v>
      </c>
      <c r="G13" s="14">
        <f t="shared" si="1"/>
        <v>122</v>
      </c>
      <c r="H13" s="11"/>
      <c r="I13" s="11"/>
      <c r="J13" s="14"/>
      <c r="K13" s="11"/>
    </row>
    <row r="14" spans="1:11" x14ac:dyDescent="0.25">
      <c r="A14" s="11">
        <v>9</v>
      </c>
      <c r="B14" s="14" t="s">
        <v>139</v>
      </c>
      <c r="C14" s="14" t="s">
        <v>32</v>
      </c>
      <c r="D14" s="11">
        <f t="shared" si="0"/>
        <v>100</v>
      </c>
      <c r="E14" s="14">
        <v>2345</v>
      </c>
      <c r="F14" s="37">
        <v>2500</v>
      </c>
      <c r="G14" s="14">
        <f t="shared" si="1"/>
        <v>155</v>
      </c>
      <c r="H14" s="11"/>
      <c r="I14" s="11"/>
      <c r="J14" s="14"/>
      <c r="K14" s="11"/>
    </row>
    <row r="15" spans="1:11" x14ac:dyDescent="0.25">
      <c r="A15" s="11">
        <v>10</v>
      </c>
      <c r="B15" s="14" t="s">
        <v>140</v>
      </c>
      <c r="C15" s="14" t="s">
        <v>34</v>
      </c>
      <c r="D15" s="11">
        <f t="shared" si="0"/>
        <v>700</v>
      </c>
      <c r="E15" s="14">
        <v>3698</v>
      </c>
      <c r="F15" s="37">
        <v>3700</v>
      </c>
      <c r="G15" s="14">
        <f t="shared" si="1"/>
        <v>2</v>
      </c>
      <c r="H15" s="11"/>
      <c r="I15" s="11"/>
      <c r="J15" s="14"/>
      <c r="K15" s="11"/>
    </row>
    <row r="16" spans="1:11" x14ac:dyDescent="0.25">
      <c r="A16" s="1"/>
      <c r="B16" s="1" t="s">
        <v>141</v>
      </c>
      <c r="C16" s="1"/>
      <c r="D16" s="1"/>
      <c r="E16" s="1"/>
      <c r="F16" s="1"/>
      <c r="G16" s="1"/>
      <c r="H16" s="1"/>
      <c r="I16" s="1"/>
      <c r="J16" s="1"/>
      <c r="K16" s="1"/>
    </row>
    <row r="18" spans="3:5" x14ac:dyDescent="0.25">
      <c r="C18" s="3" t="s">
        <v>123</v>
      </c>
      <c r="D18" s="3" t="s">
        <v>124</v>
      </c>
      <c r="E18" s="3" t="s">
        <v>142</v>
      </c>
    </row>
    <row r="19" spans="3:5" x14ac:dyDescent="0.25">
      <c r="C19" s="1" t="s">
        <v>32</v>
      </c>
      <c r="D19" s="1">
        <v>100</v>
      </c>
      <c r="E19" s="1">
        <v>1000</v>
      </c>
    </row>
    <row r="20" spans="3:5" x14ac:dyDescent="0.25">
      <c r="C20" s="1" t="s">
        <v>33</v>
      </c>
      <c r="D20" s="1">
        <v>500</v>
      </c>
      <c r="E20" s="1">
        <v>1200</v>
      </c>
    </row>
    <row r="21" spans="3:5" x14ac:dyDescent="0.25">
      <c r="C21" s="1" t="s">
        <v>34</v>
      </c>
      <c r="D21" s="1">
        <v>700</v>
      </c>
      <c r="E21" s="1">
        <v>1500</v>
      </c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A3D5-B874-46A1-B84B-1067AC270F78}">
  <dimension ref="A1:K19"/>
  <sheetViews>
    <sheetView workbookViewId="0">
      <selection activeCell="H8" sqref="H8"/>
    </sheetView>
  </sheetViews>
  <sheetFormatPr defaultRowHeight="15" x14ac:dyDescent="0.25"/>
  <cols>
    <col min="2" max="2" width="15.7109375" bestFit="1" customWidth="1"/>
    <col min="4" max="4" width="10" bestFit="1" customWidth="1"/>
    <col min="5" max="5" width="10.5703125" bestFit="1" customWidth="1"/>
    <col min="8" max="8" width="13.5703125" bestFit="1" customWidth="1"/>
    <col min="9" max="9" width="11.28515625" customWidth="1"/>
    <col min="10" max="10" width="12.5703125" bestFit="1" customWidth="1"/>
    <col min="11" max="11" width="17.140625" customWidth="1"/>
  </cols>
  <sheetData>
    <row r="1" spans="1:11" x14ac:dyDescent="0.25">
      <c r="A1" s="31" t="s">
        <v>179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25">
      <c r="B2" t="s">
        <v>180</v>
      </c>
      <c r="D2" s="1">
        <v>200000000</v>
      </c>
      <c r="F2" t="s">
        <v>181</v>
      </c>
      <c r="G2" s="1">
        <v>16036</v>
      </c>
      <c r="I2" t="s">
        <v>182</v>
      </c>
      <c r="J2" s="1">
        <v>0.3</v>
      </c>
    </row>
    <row r="4" spans="1:11" x14ac:dyDescent="0.25">
      <c r="A4" s="43" t="s">
        <v>74</v>
      </c>
      <c r="B4" s="43" t="s">
        <v>1</v>
      </c>
      <c r="C4" s="43" t="s">
        <v>2</v>
      </c>
      <c r="D4" s="43" t="s">
        <v>145</v>
      </c>
      <c r="E4" s="35" t="s">
        <v>146</v>
      </c>
      <c r="F4" s="43" t="s">
        <v>148</v>
      </c>
      <c r="G4" s="35" t="s">
        <v>149</v>
      </c>
      <c r="H4" s="35" t="s">
        <v>150</v>
      </c>
      <c r="I4" s="43" t="s">
        <v>152</v>
      </c>
      <c r="J4" s="43" t="s">
        <v>153</v>
      </c>
      <c r="K4" s="35" t="s">
        <v>154</v>
      </c>
    </row>
    <row r="5" spans="1:11" x14ac:dyDescent="0.25">
      <c r="A5" s="43"/>
      <c r="B5" s="43"/>
      <c r="C5" s="43"/>
      <c r="D5" s="43"/>
      <c r="E5" s="35" t="s">
        <v>147</v>
      </c>
      <c r="F5" s="43"/>
      <c r="G5" s="35" t="s">
        <v>148</v>
      </c>
      <c r="H5" s="35" t="s">
        <v>151</v>
      </c>
      <c r="I5" s="43"/>
      <c r="J5" s="43"/>
      <c r="K5" s="35" t="s">
        <v>155</v>
      </c>
    </row>
    <row r="6" spans="1:11" x14ac:dyDescent="0.25">
      <c r="A6" s="1">
        <v>1</v>
      </c>
      <c r="B6" s="1" t="s">
        <v>156</v>
      </c>
      <c r="C6" s="1" t="s">
        <v>162</v>
      </c>
      <c r="D6" s="1" t="s">
        <v>169</v>
      </c>
      <c r="E6" s="39">
        <v>560</v>
      </c>
      <c r="F6" s="1" t="s">
        <v>32</v>
      </c>
      <c r="G6" s="1">
        <f>IF(F6="A",2.5,IF(F6="B",2,IF(F6="C",1,0.8)))</f>
        <v>2.5</v>
      </c>
      <c r="H6" s="1">
        <f>VLOOKUP(LEFT(D6,1),$C$15:$E$19,IF(RIGHT(D6,2)="A",2,3),0)</f>
        <v>40</v>
      </c>
      <c r="I6" s="23">
        <f>E6*J2*G2</f>
        <v>2694048</v>
      </c>
      <c r="J6" s="41">
        <f>E13/G13*G6</f>
        <v>680.81896551724128</v>
      </c>
      <c r="K6" s="42">
        <f>(E6+H6)*G2+J6-I6</f>
        <v>6928232.818965517</v>
      </c>
    </row>
    <row r="7" spans="1:11" x14ac:dyDescent="0.25">
      <c r="A7" s="1">
        <v>2</v>
      </c>
      <c r="B7" s="1" t="s">
        <v>157</v>
      </c>
      <c r="C7" s="1" t="s">
        <v>163</v>
      </c>
      <c r="D7" s="1" t="s">
        <v>169</v>
      </c>
      <c r="E7" s="39">
        <v>560</v>
      </c>
      <c r="F7" s="1" t="s">
        <v>33</v>
      </c>
      <c r="G7" s="1">
        <f t="shared" ref="G7:G12" si="0">IF(F7="A",2.5,IF(F7="B",2,IF(F7="C",1,0.8)))</f>
        <v>2</v>
      </c>
      <c r="H7" s="1">
        <f>VLOOKUP(LEFT(D7,1),$C$15:$E$19,IF(RIGHT(D7,2)="A",2,3),0)</f>
        <v>40</v>
      </c>
      <c r="I7" s="23">
        <f>E7*J2*G2</f>
        <v>2694048</v>
      </c>
      <c r="J7" s="41">
        <f>E13/G13*G7</f>
        <v>544.65517241379303</v>
      </c>
      <c r="K7" s="42">
        <f>(E7+H7)*G2+J7-I7</f>
        <v>6928096.6551724132</v>
      </c>
    </row>
    <row r="8" spans="1:11" x14ac:dyDescent="0.25">
      <c r="A8" s="1">
        <v>3</v>
      </c>
      <c r="B8" s="1" t="s">
        <v>158</v>
      </c>
      <c r="C8" s="1" t="s">
        <v>164</v>
      </c>
      <c r="D8" s="1" t="s">
        <v>170</v>
      </c>
      <c r="E8" s="39">
        <v>560</v>
      </c>
      <c r="F8" s="1" t="s">
        <v>33</v>
      </c>
      <c r="G8" s="1">
        <f t="shared" si="0"/>
        <v>2</v>
      </c>
      <c r="H8" s="1">
        <f t="shared" ref="H7:H12" si="1">VLOOKUP(LEFT(D8,1),$C$15:$E$19,IF(RIGHT(D8,2)="A",2,3),0)</f>
        <v>40</v>
      </c>
      <c r="I8" s="23">
        <f>E8*J2*G2</f>
        <v>2694048</v>
      </c>
      <c r="J8" s="41">
        <f>E13/G13*G8</f>
        <v>544.65517241379303</v>
      </c>
      <c r="K8" s="42">
        <f>(E8+H8)*G2+J8-I8</f>
        <v>6928096.6551724132</v>
      </c>
    </row>
    <row r="9" spans="1:11" x14ac:dyDescent="0.25">
      <c r="A9" s="1">
        <v>4</v>
      </c>
      <c r="B9" s="1" t="s">
        <v>159</v>
      </c>
      <c r="C9" s="1" t="s">
        <v>165</v>
      </c>
      <c r="D9" s="1" t="s">
        <v>171</v>
      </c>
      <c r="E9" s="39">
        <v>480</v>
      </c>
      <c r="F9" s="1" t="s">
        <v>34</v>
      </c>
      <c r="G9" s="1">
        <f t="shared" si="0"/>
        <v>1</v>
      </c>
      <c r="H9" s="1">
        <f t="shared" si="1"/>
        <v>20</v>
      </c>
      <c r="I9" s="23">
        <f>E9*J2*G2</f>
        <v>2309184</v>
      </c>
      <c r="J9" s="41">
        <f>E13/G13*G9</f>
        <v>272.32758620689651</v>
      </c>
      <c r="K9" s="42">
        <f>(E9+H9)*G2+J9-I9</f>
        <v>5709088.3275862066</v>
      </c>
    </row>
    <row r="10" spans="1:11" x14ac:dyDescent="0.25">
      <c r="A10" s="1">
        <v>5</v>
      </c>
      <c r="B10" s="1" t="s">
        <v>160</v>
      </c>
      <c r="C10" s="1" t="s">
        <v>166</v>
      </c>
      <c r="D10" s="1" t="s">
        <v>172</v>
      </c>
      <c r="E10" s="39">
        <v>333</v>
      </c>
      <c r="F10" s="1" t="s">
        <v>32</v>
      </c>
      <c r="G10" s="1">
        <f t="shared" si="0"/>
        <v>2.5</v>
      </c>
      <c r="H10" s="1">
        <f t="shared" si="1"/>
        <v>20</v>
      </c>
      <c r="I10" s="23">
        <f>E10*J2*G2</f>
        <v>1601996.4</v>
      </c>
      <c r="J10" s="41">
        <f>E13/G13*G10</f>
        <v>680.81896551724128</v>
      </c>
      <c r="K10" s="42">
        <f>(E10+H10)*G2+J10-I10</f>
        <v>4059392.4189655171</v>
      </c>
    </row>
    <row r="11" spans="1:11" x14ac:dyDescent="0.25">
      <c r="A11" s="1">
        <v>6</v>
      </c>
      <c r="B11" s="1" t="s">
        <v>161</v>
      </c>
      <c r="C11" s="1" t="s">
        <v>167</v>
      </c>
      <c r="D11" s="1" t="s">
        <v>172</v>
      </c>
      <c r="E11" s="39">
        <v>333</v>
      </c>
      <c r="F11" s="1" t="s">
        <v>35</v>
      </c>
      <c r="G11" s="1">
        <f t="shared" si="0"/>
        <v>0.8</v>
      </c>
      <c r="H11" s="1">
        <f t="shared" si="1"/>
        <v>20</v>
      </c>
      <c r="I11" s="23">
        <f>E11*J2*G2</f>
        <v>1601996.4</v>
      </c>
      <c r="J11" s="41">
        <f>E13/G13*G11</f>
        <v>217.86206896551721</v>
      </c>
      <c r="K11" s="42">
        <f>(E11+H11)*G2+J11-I11</f>
        <v>4058929.4620689652</v>
      </c>
    </row>
    <row r="12" spans="1:11" x14ac:dyDescent="0.25">
      <c r="A12" s="1">
        <v>7</v>
      </c>
      <c r="B12" s="1" t="s">
        <v>156</v>
      </c>
      <c r="C12" s="1" t="s">
        <v>168</v>
      </c>
      <c r="D12" s="1" t="s">
        <v>172</v>
      </c>
      <c r="E12" s="39">
        <v>333</v>
      </c>
      <c r="F12" s="1" t="s">
        <v>35</v>
      </c>
      <c r="G12" s="1">
        <f t="shared" si="0"/>
        <v>0.8</v>
      </c>
      <c r="H12" s="1">
        <f t="shared" si="1"/>
        <v>20</v>
      </c>
      <c r="I12" s="23">
        <f>E12*J2*G2</f>
        <v>1601996.4</v>
      </c>
      <c r="J12" s="41">
        <f>E13/G13*G12</f>
        <v>217.86206896551721</v>
      </c>
      <c r="K12" s="42">
        <f>(E12+H12)*G2+J12-I12</f>
        <v>4058929.4620689652</v>
      </c>
    </row>
    <row r="13" spans="1:11" x14ac:dyDescent="0.25">
      <c r="A13" s="1"/>
      <c r="B13" s="1" t="s">
        <v>173</v>
      </c>
      <c r="C13" s="1"/>
      <c r="D13" s="1"/>
      <c r="E13" s="39">
        <f>SUM(E6:E12)</f>
        <v>3159</v>
      </c>
      <c r="F13" s="1"/>
      <c r="G13" s="40">
        <f>SUM(G6:G12)</f>
        <v>11.600000000000001</v>
      </c>
      <c r="H13" s="1">
        <f>SUM(H6:H12)</f>
        <v>200</v>
      </c>
      <c r="I13" s="23">
        <f>SUM(I6:I12)</f>
        <v>15197317.200000001</v>
      </c>
      <c r="J13" s="41">
        <f>SUM(J6:J12)</f>
        <v>3158.9999999999995</v>
      </c>
      <c r="K13" s="42">
        <f>(E13+H13)*G2+J13-I13</f>
        <v>38670765.799999997</v>
      </c>
    </row>
    <row r="14" spans="1:11" x14ac:dyDescent="0.25">
      <c r="C14" s="16" t="s">
        <v>174</v>
      </c>
      <c r="D14" s="16"/>
      <c r="G14" s="16" t="s">
        <v>177</v>
      </c>
      <c r="H14" s="16"/>
    </row>
    <row r="15" spans="1:11" x14ac:dyDescent="0.25">
      <c r="C15" s="1"/>
      <c r="D15" s="1" t="s">
        <v>175</v>
      </c>
      <c r="E15" s="1" t="s">
        <v>176</v>
      </c>
      <c r="G15" s="1" t="s">
        <v>148</v>
      </c>
      <c r="H15" s="1" t="s">
        <v>178</v>
      </c>
    </row>
    <row r="16" spans="1:11" x14ac:dyDescent="0.25">
      <c r="C16" s="1" t="s">
        <v>32</v>
      </c>
      <c r="D16" s="1">
        <v>50</v>
      </c>
      <c r="E16" s="1">
        <v>40</v>
      </c>
      <c r="G16" s="1" t="s">
        <v>32</v>
      </c>
      <c r="H16" s="1">
        <v>2.5</v>
      </c>
    </row>
    <row r="17" spans="3:8" x14ac:dyDescent="0.25">
      <c r="C17" s="1" t="s">
        <v>33</v>
      </c>
      <c r="D17" s="1">
        <v>40</v>
      </c>
      <c r="E17" s="1">
        <v>30</v>
      </c>
      <c r="G17" s="1" t="s">
        <v>33</v>
      </c>
      <c r="H17" s="1">
        <v>2</v>
      </c>
    </row>
    <row r="18" spans="3:8" x14ac:dyDescent="0.25">
      <c r="C18" s="1" t="s">
        <v>34</v>
      </c>
      <c r="D18" s="1">
        <v>30</v>
      </c>
      <c r="E18" s="1">
        <v>20</v>
      </c>
      <c r="G18" s="1" t="s">
        <v>34</v>
      </c>
      <c r="H18" s="1">
        <v>1</v>
      </c>
    </row>
    <row r="19" spans="3:8" x14ac:dyDescent="0.25">
      <c r="C19" s="1" t="s">
        <v>35</v>
      </c>
      <c r="D19" s="1">
        <v>20</v>
      </c>
      <c r="E19" s="1">
        <v>0</v>
      </c>
      <c r="G19" s="1" t="s">
        <v>35</v>
      </c>
      <c r="H19" s="1">
        <v>0.8</v>
      </c>
    </row>
  </sheetData>
  <mergeCells count="8">
    <mergeCell ref="J4:J5"/>
    <mergeCell ref="A1:K1"/>
    <mergeCell ref="A4:A5"/>
    <mergeCell ref="B4:B5"/>
    <mergeCell ref="C4:C5"/>
    <mergeCell ref="D4:D5"/>
    <mergeCell ref="F4:F5"/>
    <mergeCell ref="I4:I5"/>
  </mergeCells>
  <phoneticPr fontId="5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68D9-00E1-4BE5-8195-695BAA0F3889}">
  <dimension ref="A1:J25"/>
  <sheetViews>
    <sheetView tabSelected="1" workbookViewId="0">
      <selection activeCell="C5" sqref="C5"/>
    </sheetView>
  </sheetViews>
  <sheetFormatPr defaultRowHeight="15" x14ac:dyDescent="0.25"/>
  <cols>
    <col min="2" max="2" width="12.5703125" bestFit="1" customWidth="1"/>
    <col min="3" max="3" width="10.28515625" bestFit="1" customWidth="1"/>
    <col min="5" max="5" width="11.5703125" bestFit="1" customWidth="1"/>
  </cols>
  <sheetData>
    <row r="1" spans="1:10" ht="26.25" customHeight="1" x14ac:dyDescent="0.35">
      <c r="A1" s="32" t="s">
        <v>206</v>
      </c>
      <c r="B1" s="33"/>
      <c r="C1" s="33"/>
      <c r="D1" s="33"/>
      <c r="E1" s="33"/>
      <c r="F1" s="33"/>
      <c r="G1" s="33"/>
      <c r="H1" s="33"/>
      <c r="I1" s="33"/>
      <c r="J1" s="33"/>
    </row>
    <row r="3" spans="1:10" ht="30" x14ac:dyDescent="0.25">
      <c r="A3" s="2" t="s">
        <v>74</v>
      </c>
      <c r="B3" s="2" t="s">
        <v>183</v>
      </c>
      <c r="C3" s="2" t="s">
        <v>184</v>
      </c>
      <c r="D3" s="2" t="s">
        <v>185</v>
      </c>
      <c r="E3" s="2" t="s">
        <v>186</v>
      </c>
      <c r="F3" s="2" t="s">
        <v>187</v>
      </c>
      <c r="G3" s="20" t="s">
        <v>188</v>
      </c>
      <c r="H3" s="2" t="s">
        <v>121</v>
      </c>
      <c r="I3" s="10" t="s">
        <v>189</v>
      </c>
      <c r="J3" s="20" t="s">
        <v>190</v>
      </c>
    </row>
    <row r="4" spans="1:10" x14ac:dyDescent="0.25">
      <c r="A4" s="1">
        <v>1</v>
      </c>
      <c r="B4" s="44" t="s">
        <v>191</v>
      </c>
      <c r="C4" s="1" t="e">
        <f>IF(LEFT(B4,1)="0",VLOOKUP(MID(B4,2,2),$A$19:$C$25,2,0),"Thành phố")</f>
        <v>#N/A</v>
      </c>
      <c r="D4" s="1"/>
      <c r="E4" s="18">
        <v>0.34861111111111115</v>
      </c>
      <c r="F4" s="19">
        <v>0.35069444444444442</v>
      </c>
      <c r="G4" s="1"/>
      <c r="H4" s="1"/>
      <c r="I4" s="1"/>
      <c r="J4" s="1"/>
    </row>
    <row r="5" spans="1:10" x14ac:dyDescent="0.25">
      <c r="A5" s="1">
        <v>2</v>
      </c>
      <c r="B5" s="44">
        <v>8434269</v>
      </c>
      <c r="C5" s="1" t="str">
        <f t="shared" ref="C5:C15" si="0">IF(LEFT(B5,1)="0",VLOOKUP(MID(B5,2,2),$A$19:$C$25,2,0),"Thành phố")</f>
        <v>Thành phố</v>
      </c>
      <c r="D5" s="1"/>
      <c r="E5" s="19">
        <v>0.42708333333333331</v>
      </c>
      <c r="F5" s="19">
        <v>0.44236111111111115</v>
      </c>
      <c r="G5" s="1"/>
      <c r="H5" s="1"/>
      <c r="I5" s="1"/>
      <c r="J5" s="1"/>
    </row>
    <row r="6" spans="1:10" x14ac:dyDescent="0.25">
      <c r="A6" s="1">
        <v>3</v>
      </c>
      <c r="B6" s="44" t="s">
        <v>192</v>
      </c>
      <c r="C6" s="1" t="e">
        <f t="shared" si="0"/>
        <v>#N/A</v>
      </c>
      <c r="D6" s="1"/>
      <c r="E6" s="19">
        <v>0.50277777777777777</v>
      </c>
      <c r="F6" s="19">
        <v>0.53888888888888886</v>
      </c>
      <c r="G6" s="1"/>
      <c r="H6" s="1"/>
      <c r="I6" s="1"/>
      <c r="J6" s="1"/>
    </row>
    <row r="7" spans="1:10" x14ac:dyDescent="0.25">
      <c r="A7" s="1">
        <v>4</v>
      </c>
      <c r="B7" s="44">
        <v>8322883</v>
      </c>
      <c r="C7" s="1" t="str">
        <f t="shared" si="0"/>
        <v>Thành phố</v>
      </c>
      <c r="D7" s="1"/>
      <c r="E7" s="19">
        <v>0.64583333333333337</v>
      </c>
      <c r="F7" s="19">
        <v>0.65625</v>
      </c>
      <c r="G7" s="1"/>
      <c r="H7" s="1"/>
      <c r="I7" s="1"/>
      <c r="J7" s="1"/>
    </row>
    <row r="8" spans="1:10" x14ac:dyDescent="0.25">
      <c r="A8" s="1">
        <v>5</v>
      </c>
      <c r="B8" s="44">
        <v>8399047</v>
      </c>
      <c r="C8" s="1" t="str">
        <f t="shared" si="0"/>
        <v>Thành phố</v>
      </c>
      <c r="D8" s="1"/>
      <c r="E8" s="19">
        <v>0.66666666666666663</v>
      </c>
      <c r="F8" s="19">
        <v>0.71527777777777779</v>
      </c>
      <c r="G8" s="1"/>
      <c r="H8" s="1"/>
      <c r="I8" s="1"/>
      <c r="J8" s="1"/>
    </row>
    <row r="9" spans="1:10" x14ac:dyDescent="0.25">
      <c r="A9" s="1">
        <v>6</v>
      </c>
      <c r="B9" s="44" t="s">
        <v>193</v>
      </c>
      <c r="C9" s="1" t="e">
        <f t="shared" si="0"/>
        <v>#N/A</v>
      </c>
      <c r="D9" s="1"/>
      <c r="E9" s="19">
        <v>0.71875</v>
      </c>
      <c r="F9" s="19">
        <v>0.72916666666666663</v>
      </c>
      <c r="G9" s="1"/>
      <c r="H9" s="1"/>
      <c r="I9" s="1"/>
      <c r="J9" s="1"/>
    </row>
    <row r="10" spans="1:10" x14ac:dyDescent="0.25">
      <c r="A10" s="1">
        <v>7</v>
      </c>
      <c r="B10" s="44">
        <v>8999675</v>
      </c>
      <c r="C10" s="1" t="str">
        <f t="shared" si="0"/>
        <v>Thành phố</v>
      </c>
      <c r="D10" s="1"/>
      <c r="E10" s="19">
        <v>0.70000000000000007</v>
      </c>
      <c r="F10" s="19">
        <v>0.72916666666666663</v>
      </c>
      <c r="G10" s="1"/>
      <c r="H10" s="1"/>
      <c r="I10" s="1"/>
      <c r="J10" s="1"/>
    </row>
    <row r="11" spans="1:10" x14ac:dyDescent="0.25">
      <c r="A11" s="1">
        <v>8</v>
      </c>
      <c r="B11" s="44">
        <v>8438721</v>
      </c>
      <c r="C11" s="1" t="str">
        <f t="shared" si="0"/>
        <v>Thành phố</v>
      </c>
      <c r="D11" s="1"/>
      <c r="E11" s="19">
        <v>0.86458333333333337</v>
      </c>
      <c r="F11" s="19">
        <v>0.875</v>
      </c>
      <c r="G11" s="1"/>
      <c r="H11" s="1"/>
      <c r="I11" s="1"/>
      <c r="J11" s="1"/>
    </row>
    <row r="12" spans="1:10" x14ac:dyDescent="0.25">
      <c r="A12" s="1">
        <v>9</v>
      </c>
      <c r="B12" s="44" t="s">
        <v>194</v>
      </c>
      <c r="C12" s="1" t="e">
        <f t="shared" si="0"/>
        <v>#N/A</v>
      </c>
      <c r="D12" s="1"/>
      <c r="E12" s="19">
        <v>0.875</v>
      </c>
      <c r="F12" s="19">
        <v>0.9</v>
      </c>
      <c r="G12" s="1"/>
      <c r="H12" s="1"/>
      <c r="I12" s="1"/>
      <c r="J12" s="1"/>
    </row>
    <row r="13" spans="1:10" x14ac:dyDescent="0.25">
      <c r="A13" s="1">
        <v>10</v>
      </c>
      <c r="B13" s="44">
        <v>8391999</v>
      </c>
      <c r="C13" s="1" t="str">
        <f t="shared" si="0"/>
        <v>Thành phố</v>
      </c>
      <c r="D13" s="1"/>
      <c r="E13" s="19">
        <v>0.30208333333333331</v>
      </c>
      <c r="F13" s="19">
        <v>0.30902777777777779</v>
      </c>
      <c r="G13" s="1"/>
      <c r="H13" s="1"/>
      <c r="I13" s="1"/>
      <c r="J13" s="1"/>
    </row>
    <row r="14" spans="1:10" x14ac:dyDescent="0.25">
      <c r="A14" s="1">
        <v>11</v>
      </c>
      <c r="B14" s="44">
        <v>8360182</v>
      </c>
      <c r="C14" s="1" t="str">
        <f t="shared" si="0"/>
        <v>Thành phố</v>
      </c>
      <c r="D14" s="1"/>
      <c r="E14" s="19">
        <v>0.27083333333333331</v>
      </c>
      <c r="F14" s="19">
        <v>0.29236111111111113</v>
      </c>
      <c r="G14" s="1"/>
      <c r="H14" s="1"/>
      <c r="I14" s="1"/>
      <c r="J14" s="1"/>
    </row>
    <row r="15" spans="1:10" x14ac:dyDescent="0.25">
      <c r="A15" s="1">
        <v>12</v>
      </c>
      <c r="B15" s="44" t="s">
        <v>195</v>
      </c>
      <c r="C15" s="1" t="e">
        <f t="shared" si="0"/>
        <v>#N/A</v>
      </c>
      <c r="D15" s="1"/>
      <c r="E15" s="19">
        <v>0.3354166666666667</v>
      </c>
      <c r="F15" s="19">
        <v>0.35069444444444442</v>
      </c>
      <c r="G15" s="1"/>
      <c r="H15" s="1"/>
      <c r="I15" s="1"/>
      <c r="J15" s="1"/>
    </row>
    <row r="17" spans="1:6" x14ac:dyDescent="0.25">
      <c r="A17" t="s">
        <v>28</v>
      </c>
      <c r="E17" t="s">
        <v>39</v>
      </c>
    </row>
    <row r="18" spans="1:6" x14ac:dyDescent="0.25">
      <c r="A18" s="2" t="s">
        <v>196</v>
      </c>
      <c r="B18" s="2" t="s">
        <v>184</v>
      </c>
      <c r="C18" s="2" t="s">
        <v>185</v>
      </c>
      <c r="E18" s="2" t="s">
        <v>204</v>
      </c>
      <c r="F18" s="2" t="s">
        <v>205</v>
      </c>
    </row>
    <row r="19" spans="1:6" x14ac:dyDescent="0.25">
      <c r="A19" s="23">
        <v>14</v>
      </c>
      <c r="B19" s="1" t="s">
        <v>197</v>
      </c>
      <c r="C19" s="1">
        <v>1</v>
      </c>
      <c r="E19" s="1">
        <v>1</v>
      </c>
      <c r="F19" s="1">
        <v>3850</v>
      </c>
    </row>
    <row r="20" spans="1:6" x14ac:dyDescent="0.25">
      <c r="A20" s="23">
        <v>56</v>
      </c>
      <c r="B20" s="1" t="s">
        <v>198</v>
      </c>
      <c r="C20" s="1">
        <v>2</v>
      </c>
      <c r="E20" s="1">
        <v>2</v>
      </c>
      <c r="F20" s="1">
        <v>2380</v>
      </c>
    </row>
    <row r="21" spans="1:6" x14ac:dyDescent="0.25">
      <c r="A21" s="23">
        <v>58</v>
      </c>
      <c r="B21" s="1" t="s">
        <v>199</v>
      </c>
      <c r="C21" s="1">
        <v>2</v>
      </c>
      <c r="E21" s="1">
        <v>3</v>
      </c>
      <c r="F21" s="1">
        <v>1500</v>
      </c>
    </row>
    <row r="22" spans="1:6" x14ac:dyDescent="0.25">
      <c r="A22" s="23">
        <v>61</v>
      </c>
      <c r="B22" s="1" t="s">
        <v>200</v>
      </c>
      <c r="C22" s="1">
        <v>3</v>
      </c>
    </row>
    <row r="23" spans="1:6" x14ac:dyDescent="0.25">
      <c r="A23" s="23">
        <v>63</v>
      </c>
      <c r="B23" s="1" t="s">
        <v>201</v>
      </c>
      <c r="C23" s="1">
        <v>3</v>
      </c>
    </row>
    <row r="24" spans="1:6" x14ac:dyDescent="0.25">
      <c r="A24" s="23">
        <v>64</v>
      </c>
      <c r="B24" s="1" t="s">
        <v>202</v>
      </c>
      <c r="C24" s="1">
        <v>3</v>
      </c>
    </row>
    <row r="25" spans="1:6" x14ac:dyDescent="0.25">
      <c r="A25" s="23">
        <v>65</v>
      </c>
      <c r="B25" s="1" t="s">
        <v>203</v>
      </c>
      <c r="C25" s="1">
        <v>3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BT1</vt:lpstr>
      <vt:lpstr>BT2</vt:lpstr>
      <vt:lpstr>BT3</vt:lpstr>
      <vt:lpstr>BT4</vt:lpstr>
      <vt:lpstr>BT5</vt:lpstr>
      <vt:lpstr>BT6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cict</dc:creator>
  <cp:lastModifiedBy>Bao Long</cp:lastModifiedBy>
  <dcterms:created xsi:type="dcterms:W3CDTF">2023-12-06T00:38:40Z</dcterms:created>
  <dcterms:modified xsi:type="dcterms:W3CDTF">2023-12-07T16:53:19Z</dcterms:modified>
</cp:coreProperties>
</file>