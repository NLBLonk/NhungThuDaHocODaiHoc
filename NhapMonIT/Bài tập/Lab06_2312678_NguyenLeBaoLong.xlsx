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lbl2005/Documents/Zalo Received Files/"/>
    </mc:Choice>
  </mc:AlternateContent>
  <xr:revisionPtr revIDLastSave="0" documentId="13_ncr:1_{91C80363-8035-1E45-A8DD-60BCBACDA7D0}" xr6:coauthVersionLast="37" xr6:coauthVersionMax="47" xr10:uidLastSave="{00000000-0000-0000-0000-000000000000}"/>
  <bookViews>
    <workbookView xWindow="0" yWindow="500" windowWidth="28800" windowHeight="9620" activeTab="3" xr2:uid="{DD4F754A-5984-45FD-A8CE-40064AEE828E}"/>
  </bookViews>
  <sheets>
    <sheet name="BT1" sheetId="1" r:id="rId1"/>
    <sheet name="BT2" sheetId="2" r:id="rId2"/>
    <sheet name="BT3" sheetId="3" r:id="rId3"/>
    <sheet name="BT4" sheetId="4" r:id="rId4"/>
  </sheets>
  <definedNames>
    <definedName name="_xlnm._FilterDatabase" localSheetId="1" hidden="1">'BT2'!$B$26:$S$47</definedName>
    <definedName name="_xlnm._FilterDatabase" localSheetId="2" hidden="1">'BT3'!$A$23:$P$39</definedName>
    <definedName name="_xlnm._FilterDatabase" localSheetId="3" hidden="1">'BT4'!$A$1:$I$12</definedName>
    <definedName name="_xlnm.Criteria" localSheetId="3">'BT4'!$K$1:$M$2</definedName>
    <definedName name="_xlnm.Extract" localSheetId="2">'BT3'!$A$43:$P$43</definedName>
    <definedName name="_xlnm.Extract" localSheetId="3">'BT4'!$F$20:$N$20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4" l="1"/>
  <c r="A6" i="4" s="1"/>
  <c r="A7" i="4" s="1"/>
  <c r="A8" i="4" s="1"/>
  <c r="A9" i="4" s="1"/>
  <c r="A10" i="4" s="1"/>
  <c r="A11" i="4" s="1"/>
  <c r="A12" i="4" s="1"/>
  <c r="A4" i="4"/>
  <c r="A3" i="4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10" i="4"/>
  <c r="I10" i="4" s="1"/>
  <c r="H11" i="4"/>
  <c r="I11" i="4" s="1"/>
  <c r="H9" i="4"/>
  <c r="I9" i="4" s="1"/>
  <c r="H12" i="4"/>
  <c r="I12" i="4" s="1"/>
  <c r="H2" i="4"/>
  <c r="I2" i="4" s="1"/>
  <c r="D16" i="4" l="1"/>
  <c r="D15" i="4"/>
  <c r="L28" i="3"/>
  <c r="M28" i="3" s="1"/>
  <c r="L26" i="3"/>
  <c r="M26" i="3" s="1"/>
  <c r="L37" i="3"/>
  <c r="M37" i="3" s="1"/>
  <c r="L35" i="3"/>
  <c r="M35" i="3" s="1"/>
  <c r="L30" i="3"/>
  <c r="M30" i="3" s="1"/>
  <c r="L29" i="3"/>
  <c r="M29" i="3" s="1"/>
  <c r="L27" i="3"/>
  <c r="M27" i="3" s="1"/>
  <c r="L25" i="3"/>
  <c r="M25" i="3" s="1"/>
  <c r="L39" i="3"/>
  <c r="M39" i="3" s="1"/>
  <c r="K39" i="3"/>
  <c r="J39" i="3"/>
  <c r="N39" i="3" s="1"/>
  <c r="L38" i="3"/>
  <c r="M38" i="3" s="1"/>
  <c r="K38" i="3"/>
  <c r="J38" i="3"/>
  <c r="N38" i="3" s="1"/>
  <c r="K37" i="3"/>
  <c r="J37" i="3"/>
  <c r="N37" i="3" s="1"/>
  <c r="L36" i="3"/>
  <c r="M36" i="3" s="1"/>
  <c r="K36" i="3"/>
  <c r="J36" i="3"/>
  <c r="N36" i="3" s="1"/>
  <c r="K35" i="3"/>
  <c r="J35" i="3"/>
  <c r="N35" i="3" s="1"/>
  <c r="L34" i="3"/>
  <c r="M34" i="3" s="1"/>
  <c r="K34" i="3"/>
  <c r="J34" i="3"/>
  <c r="N34" i="3" s="1"/>
  <c r="L33" i="3"/>
  <c r="M33" i="3" s="1"/>
  <c r="K33" i="3"/>
  <c r="J33" i="3"/>
  <c r="N33" i="3" s="1"/>
  <c r="L32" i="3"/>
  <c r="M32" i="3" s="1"/>
  <c r="K32" i="3"/>
  <c r="J32" i="3"/>
  <c r="N32" i="3" s="1"/>
  <c r="L31" i="3"/>
  <c r="M31" i="3" s="1"/>
  <c r="K31" i="3"/>
  <c r="J31" i="3"/>
  <c r="N31" i="3" s="1"/>
  <c r="K30" i="3"/>
  <c r="J30" i="3"/>
  <c r="N30" i="3" s="1"/>
  <c r="K29" i="3"/>
  <c r="J29" i="3"/>
  <c r="N29" i="3" s="1"/>
  <c r="K28" i="3"/>
  <c r="J28" i="3"/>
  <c r="N28" i="3" s="1"/>
  <c r="K27" i="3"/>
  <c r="J27" i="3"/>
  <c r="N27" i="3" s="1"/>
  <c r="K26" i="3"/>
  <c r="J26" i="3"/>
  <c r="N26" i="3" s="1"/>
  <c r="A26" i="3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K25" i="3"/>
  <c r="J25" i="3"/>
  <c r="N25" i="3" s="1"/>
  <c r="O33" i="3" l="1"/>
  <c r="P33" i="3" s="1"/>
  <c r="O27" i="3"/>
  <c r="P27" i="3" s="1"/>
  <c r="O35" i="3"/>
  <c r="P35" i="3" s="1"/>
  <c r="O25" i="3"/>
  <c r="P25" i="3" s="1"/>
  <c r="O30" i="3"/>
  <c r="P30" i="3" s="1"/>
  <c r="O28" i="3"/>
  <c r="P28" i="3" s="1"/>
  <c r="O36" i="3"/>
  <c r="P36" i="3" s="1"/>
  <c r="O31" i="3"/>
  <c r="P31" i="3" s="1"/>
  <c r="O26" i="3"/>
  <c r="P26" i="3" s="1"/>
  <c r="O34" i="3"/>
  <c r="P34" i="3" s="1"/>
  <c r="O39" i="3"/>
  <c r="P39" i="3" s="1"/>
  <c r="O29" i="3"/>
  <c r="P29" i="3" s="1"/>
  <c r="O37" i="3"/>
  <c r="P37" i="3" s="1"/>
  <c r="O32" i="3"/>
  <c r="P32" i="3" s="1"/>
  <c r="O38" i="3"/>
  <c r="P38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7" i="3"/>
  <c r="M7" i="3" s="1"/>
  <c r="L8" i="3"/>
  <c r="M8" i="3" s="1"/>
  <c r="L6" i="3"/>
  <c r="M6" i="3" s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6" i="3"/>
  <c r="J7" i="3"/>
  <c r="N7" i="3" s="1"/>
  <c r="J8" i="3"/>
  <c r="N8" i="3" s="1"/>
  <c r="J9" i="3"/>
  <c r="N9" i="3" s="1"/>
  <c r="J10" i="3"/>
  <c r="N10" i="3" s="1"/>
  <c r="J11" i="3"/>
  <c r="N11" i="3" s="1"/>
  <c r="O11" i="3" s="1"/>
  <c r="J12" i="3"/>
  <c r="N12" i="3" s="1"/>
  <c r="J13" i="3"/>
  <c r="N13" i="3" s="1"/>
  <c r="J14" i="3"/>
  <c r="N14" i="3" s="1"/>
  <c r="J15" i="3"/>
  <c r="N15" i="3" s="1"/>
  <c r="O15" i="3" s="1"/>
  <c r="J16" i="3"/>
  <c r="N16" i="3" s="1"/>
  <c r="O16" i="3" s="1"/>
  <c r="J17" i="3"/>
  <c r="N17" i="3" s="1"/>
  <c r="O17" i="3" s="1"/>
  <c r="J18" i="3"/>
  <c r="N18" i="3" s="1"/>
  <c r="O18" i="3" s="1"/>
  <c r="J19" i="3"/>
  <c r="N19" i="3" s="1"/>
  <c r="O19" i="3" s="1"/>
  <c r="J20" i="3"/>
  <c r="N20" i="3" s="1"/>
  <c r="O20" i="3" s="1"/>
  <c r="J6" i="3"/>
  <c r="N6" i="3" s="1"/>
  <c r="P17" i="3" l="1"/>
  <c r="P18" i="3"/>
  <c r="P15" i="3"/>
  <c r="P16" i="3"/>
  <c r="P19" i="3"/>
  <c r="P20" i="3"/>
  <c r="P11" i="3"/>
  <c r="O7" i="3"/>
  <c r="P7" i="3" s="1"/>
  <c r="O9" i="3"/>
  <c r="P9" i="3" s="1"/>
  <c r="O14" i="3"/>
  <c r="P14" i="3" s="1"/>
  <c r="O13" i="3"/>
  <c r="P13" i="3" s="1"/>
  <c r="O12" i="3"/>
  <c r="P12" i="3" s="1"/>
  <c r="O8" i="3"/>
  <c r="P8" i="3" s="1"/>
  <c r="O6" i="3"/>
  <c r="P6" i="3" s="1"/>
  <c r="O10" i="3"/>
  <c r="P10" i="3" s="1"/>
  <c r="G52" i="2"/>
  <c r="E52" i="2"/>
  <c r="D52" i="2"/>
  <c r="G51" i="2"/>
  <c r="E51" i="2"/>
  <c r="Q47" i="2"/>
  <c r="Q46" i="2"/>
  <c r="Q43" i="2"/>
  <c r="Q39" i="2"/>
  <c r="Q37" i="2"/>
  <c r="Q35" i="2"/>
  <c r="Q34" i="2"/>
  <c r="Q33" i="2"/>
  <c r="Q31" i="2"/>
  <c r="Q30" i="2"/>
  <c r="Q29" i="2"/>
  <c r="D51" i="2"/>
  <c r="S47" i="2"/>
  <c r="R47" i="2"/>
  <c r="O47" i="2"/>
  <c r="P47" i="2" s="1"/>
  <c r="M47" i="2"/>
  <c r="L47" i="2"/>
  <c r="N47" i="2" s="1"/>
  <c r="S46" i="2"/>
  <c r="R46" i="2"/>
  <c r="O46" i="2"/>
  <c r="P46" i="2" s="1"/>
  <c r="M46" i="2"/>
  <c r="L46" i="2"/>
  <c r="N46" i="2" s="1"/>
  <c r="S45" i="2"/>
  <c r="R45" i="2"/>
  <c r="O45" i="2"/>
  <c r="P45" i="2" s="1"/>
  <c r="M45" i="2"/>
  <c r="L45" i="2"/>
  <c r="N45" i="2" s="1"/>
  <c r="Q45" i="2" s="1"/>
  <c r="S44" i="2"/>
  <c r="R44" i="2"/>
  <c r="O44" i="2"/>
  <c r="P44" i="2" s="1"/>
  <c r="M44" i="2"/>
  <c r="L44" i="2"/>
  <c r="N44" i="2" s="1"/>
  <c r="Q44" i="2" s="1"/>
  <c r="S43" i="2"/>
  <c r="R43" i="2"/>
  <c r="O43" i="2"/>
  <c r="P43" i="2" s="1"/>
  <c r="M43" i="2"/>
  <c r="L43" i="2"/>
  <c r="N43" i="2" s="1"/>
  <c r="S42" i="2"/>
  <c r="R42" i="2"/>
  <c r="O42" i="2"/>
  <c r="P42" i="2" s="1"/>
  <c r="M42" i="2"/>
  <c r="L42" i="2"/>
  <c r="N42" i="2" s="1"/>
  <c r="Q42" i="2" s="1"/>
  <c r="S41" i="2"/>
  <c r="R41" i="2"/>
  <c r="O41" i="2"/>
  <c r="P41" i="2" s="1"/>
  <c r="M41" i="2"/>
  <c r="L41" i="2"/>
  <c r="N41" i="2" s="1"/>
  <c r="Q41" i="2" s="1"/>
  <c r="S40" i="2"/>
  <c r="R40" i="2"/>
  <c r="O40" i="2"/>
  <c r="P40" i="2" s="1"/>
  <c r="M40" i="2"/>
  <c r="L40" i="2"/>
  <c r="N40" i="2" s="1"/>
  <c r="Q40" i="2" s="1"/>
  <c r="S39" i="2"/>
  <c r="R39" i="2"/>
  <c r="O39" i="2"/>
  <c r="P39" i="2" s="1"/>
  <c r="M39" i="2"/>
  <c r="L39" i="2"/>
  <c r="N39" i="2" s="1"/>
  <c r="S38" i="2"/>
  <c r="R38" i="2"/>
  <c r="O38" i="2"/>
  <c r="P38" i="2" s="1"/>
  <c r="M38" i="2"/>
  <c r="L38" i="2"/>
  <c r="N38" i="2" s="1"/>
  <c r="Q38" i="2" s="1"/>
  <c r="S37" i="2"/>
  <c r="R37" i="2"/>
  <c r="O37" i="2"/>
  <c r="P37" i="2" s="1"/>
  <c r="M37" i="2"/>
  <c r="L37" i="2"/>
  <c r="N37" i="2" s="1"/>
  <c r="S36" i="2"/>
  <c r="R36" i="2"/>
  <c r="O36" i="2"/>
  <c r="P36" i="2" s="1"/>
  <c r="M36" i="2"/>
  <c r="L36" i="2"/>
  <c r="N36" i="2" s="1"/>
  <c r="Q36" i="2" s="1"/>
  <c r="S35" i="2"/>
  <c r="R35" i="2"/>
  <c r="O35" i="2"/>
  <c r="P35" i="2" s="1"/>
  <c r="M35" i="2"/>
  <c r="L35" i="2"/>
  <c r="N35" i="2" s="1"/>
  <c r="S34" i="2"/>
  <c r="R34" i="2"/>
  <c r="O34" i="2"/>
  <c r="P34" i="2" s="1"/>
  <c r="M34" i="2"/>
  <c r="L34" i="2"/>
  <c r="N34" i="2" s="1"/>
  <c r="S33" i="2"/>
  <c r="R33" i="2"/>
  <c r="O33" i="2"/>
  <c r="P33" i="2" s="1"/>
  <c r="M33" i="2"/>
  <c r="L33" i="2"/>
  <c r="N33" i="2" s="1"/>
  <c r="S32" i="2"/>
  <c r="R32" i="2"/>
  <c r="O32" i="2"/>
  <c r="P32" i="2" s="1"/>
  <c r="M32" i="2"/>
  <c r="L32" i="2"/>
  <c r="N32" i="2" s="1"/>
  <c r="Q32" i="2" s="1"/>
  <c r="S31" i="2"/>
  <c r="R31" i="2"/>
  <c r="O31" i="2"/>
  <c r="P31" i="2" s="1"/>
  <c r="M31" i="2"/>
  <c r="L31" i="2"/>
  <c r="N31" i="2" s="1"/>
  <c r="S30" i="2"/>
  <c r="R30" i="2"/>
  <c r="O30" i="2"/>
  <c r="P30" i="2" s="1"/>
  <c r="M30" i="2"/>
  <c r="L30" i="2"/>
  <c r="N30" i="2" s="1"/>
  <c r="S29" i="2"/>
  <c r="R29" i="2"/>
  <c r="O29" i="2"/>
  <c r="P29" i="2" s="1"/>
  <c r="M29" i="2"/>
  <c r="L29" i="2"/>
  <c r="N29" i="2" s="1"/>
  <c r="S28" i="2"/>
  <c r="R28" i="2"/>
  <c r="O28" i="2"/>
  <c r="P28" i="2" s="1"/>
  <c r="M28" i="2"/>
  <c r="L28" i="2"/>
  <c r="N28" i="2" s="1"/>
  <c r="Q28" i="2" s="1"/>
  <c r="S5" i="2"/>
  <c r="S14" i="2"/>
  <c r="S20" i="2"/>
  <c r="S16" i="2"/>
  <c r="S18" i="2"/>
  <c r="S7" i="2"/>
  <c r="S4" i="2"/>
  <c r="S12" i="2"/>
  <c r="S19" i="2"/>
  <c r="S6" i="2"/>
  <c r="S23" i="2"/>
  <c r="S11" i="2"/>
  <c r="S22" i="2"/>
  <c r="S9" i="2"/>
  <c r="S17" i="2"/>
  <c r="S13" i="2"/>
  <c r="S10" i="2"/>
  <c r="S8" i="2"/>
  <c r="S15" i="2"/>
  <c r="S21" i="2"/>
  <c r="R5" i="2"/>
  <c r="R14" i="2"/>
  <c r="R20" i="2"/>
  <c r="R16" i="2"/>
  <c r="R18" i="2"/>
  <c r="R7" i="2"/>
  <c r="R4" i="2"/>
  <c r="R12" i="2"/>
  <c r="R19" i="2"/>
  <c r="R6" i="2"/>
  <c r="R23" i="2"/>
  <c r="R11" i="2"/>
  <c r="R22" i="2"/>
  <c r="R9" i="2"/>
  <c r="R17" i="2"/>
  <c r="R13" i="2"/>
  <c r="R10" i="2"/>
  <c r="R8" i="2"/>
  <c r="R15" i="2"/>
  <c r="R21" i="2"/>
  <c r="O5" i="2"/>
  <c r="P5" i="2" s="1"/>
  <c r="O14" i="2"/>
  <c r="P14" i="2" s="1"/>
  <c r="O20" i="2"/>
  <c r="P20" i="2" s="1"/>
  <c r="O16" i="2"/>
  <c r="P16" i="2" s="1"/>
  <c r="O18" i="2"/>
  <c r="P18" i="2" s="1"/>
  <c r="O7" i="2"/>
  <c r="P7" i="2" s="1"/>
  <c r="O4" i="2"/>
  <c r="P4" i="2" s="1"/>
  <c r="O12" i="2"/>
  <c r="P12" i="2" s="1"/>
  <c r="O19" i="2"/>
  <c r="P19" i="2" s="1"/>
  <c r="O6" i="2"/>
  <c r="P6" i="2" s="1"/>
  <c r="O23" i="2"/>
  <c r="P23" i="2" s="1"/>
  <c r="O11" i="2"/>
  <c r="P11" i="2" s="1"/>
  <c r="O22" i="2"/>
  <c r="P22" i="2" s="1"/>
  <c r="O9" i="2"/>
  <c r="P9" i="2" s="1"/>
  <c r="O17" i="2"/>
  <c r="P17" i="2" s="1"/>
  <c r="O13" i="2"/>
  <c r="P13" i="2" s="1"/>
  <c r="O10" i="2"/>
  <c r="P10" i="2" s="1"/>
  <c r="O8" i="2"/>
  <c r="P8" i="2" s="1"/>
  <c r="O15" i="2"/>
  <c r="P15" i="2" s="1"/>
  <c r="O21" i="2"/>
  <c r="P21" i="2" s="1"/>
  <c r="M5" i="2"/>
  <c r="M14" i="2"/>
  <c r="M20" i="2"/>
  <c r="M16" i="2"/>
  <c r="M18" i="2"/>
  <c r="M7" i="2"/>
  <c r="M4" i="2"/>
  <c r="M12" i="2"/>
  <c r="M19" i="2"/>
  <c r="M6" i="2"/>
  <c r="M23" i="2"/>
  <c r="M11" i="2"/>
  <c r="M22" i="2"/>
  <c r="M9" i="2"/>
  <c r="M17" i="2"/>
  <c r="M13" i="2"/>
  <c r="M10" i="2"/>
  <c r="M8" i="2"/>
  <c r="M15" i="2"/>
  <c r="M21" i="2"/>
  <c r="C19" i="1"/>
  <c r="L5" i="2"/>
  <c r="N5" i="2" s="1"/>
  <c r="Q5" i="2" s="1"/>
  <c r="L14" i="2"/>
  <c r="N14" i="2" s="1"/>
  <c r="Q14" i="2" s="1"/>
  <c r="L20" i="2"/>
  <c r="N20" i="2" s="1"/>
  <c r="Q20" i="2" s="1"/>
  <c r="L16" i="2"/>
  <c r="N16" i="2" s="1"/>
  <c r="Q16" i="2" s="1"/>
  <c r="L18" i="2"/>
  <c r="N18" i="2" s="1"/>
  <c r="Q18" i="2" s="1"/>
  <c r="L7" i="2"/>
  <c r="N7" i="2" s="1"/>
  <c r="Q7" i="2" s="1"/>
  <c r="L4" i="2"/>
  <c r="N4" i="2" s="1"/>
  <c r="Q4" i="2" s="1"/>
  <c r="L12" i="2"/>
  <c r="N12" i="2" s="1"/>
  <c r="Q12" i="2" s="1"/>
  <c r="L19" i="2"/>
  <c r="N19" i="2" s="1"/>
  <c r="Q19" i="2" s="1"/>
  <c r="L6" i="2"/>
  <c r="N6" i="2" s="1"/>
  <c r="Q6" i="2" s="1"/>
  <c r="L23" i="2"/>
  <c r="N23" i="2" s="1"/>
  <c r="Q23" i="2" s="1"/>
  <c r="L11" i="2"/>
  <c r="N11" i="2" s="1"/>
  <c r="Q11" i="2" s="1"/>
  <c r="L22" i="2"/>
  <c r="N22" i="2" s="1"/>
  <c r="Q22" i="2" s="1"/>
  <c r="L9" i="2"/>
  <c r="N9" i="2" s="1"/>
  <c r="Q9" i="2" s="1"/>
  <c r="L17" i="2"/>
  <c r="N17" i="2" s="1"/>
  <c r="Q17" i="2" s="1"/>
  <c r="L13" i="2"/>
  <c r="N13" i="2" s="1"/>
  <c r="Q13" i="2" s="1"/>
  <c r="L10" i="2"/>
  <c r="N10" i="2" s="1"/>
  <c r="Q10" i="2" s="1"/>
  <c r="L8" i="2"/>
  <c r="N8" i="2" s="1"/>
  <c r="Q8" i="2" s="1"/>
  <c r="L15" i="2"/>
  <c r="N15" i="2" s="1"/>
  <c r="Q15" i="2" s="1"/>
  <c r="L21" i="2"/>
  <c r="N21" i="2" s="1"/>
  <c r="Q21" i="2" s="1"/>
  <c r="L40" i="1"/>
  <c r="L42" i="1"/>
  <c r="L41" i="1"/>
  <c r="L39" i="1"/>
  <c r="L38" i="1"/>
  <c r="L37" i="1"/>
  <c r="L36" i="1"/>
  <c r="L35" i="1"/>
  <c r="D32" i="1"/>
  <c r="E32" i="1"/>
  <c r="F32" i="1"/>
  <c r="G32" i="1"/>
  <c r="H32" i="1"/>
  <c r="C32" i="1"/>
  <c r="H29" i="1"/>
  <c r="H30" i="1"/>
  <c r="H31" i="1"/>
  <c r="H28" i="1"/>
  <c r="G29" i="1"/>
  <c r="G30" i="1"/>
  <c r="G31" i="1"/>
  <c r="G28" i="1"/>
  <c r="F29" i="1"/>
  <c r="F30" i="1"/>
  <c r="F31" i="1"/>
  <c r="F28" i="1"/>
  <c r="E29" i="1"/>
  <c r="E30" i="1"/>
  <c r="E31" i="1"/>
  <c r="E28" i="1"/>
  <c r="D29" i="1"/>
  <c r="D30" i="1"/>
  <c r="D31" i="1"/>
  <c r="D28" i="1"/>
  <c r="C29" i="1"/>
  <c r="C30" i="1"/>
  <c r="C31" i="1"/>
  <c r="C28" i="1"/>
  <c r="C24" i="1"/>
  <c r="C23" i="1"/>
  <c r="C22" i="1"/>
  <c r="C21" i="1"/>
  <c r="C20" i="1"/>
  <c r="C18" i="1"/>
  <c r="H13" i="1"/>
  <c r="H12" i="1"/>
  <c r="F13" i="1"/>
  <c r="G13" i="1" s="1"/>
  <c r="F12" i="1"/>
  <c r="G12" i="1" s="1"/>
  <c r="H9" i="1"/>
  <c r="H8" i="1"/>
  <c r="G9" i="1"/>
  <c r="G8" i="1"/>
  <c r="F9" i="1"/>
  <c r="F8" i="1"/>
  <c r="I3" i="1"/>
  <c r="I4" i="1"/>
  <c r="I5" i="1"/>
  <c r="H3" i="1"/>
  <c r="H4" i="1"/>
  <c r="H5" i="1"/>
  <c r="G3" i="1"/>
  <c r="G4" i="1"/>
  <c r="G5" i="1"/>
  <c r="F3" i="1"/>
  <c r="F4" i="1"/>
  <c r="F5" i="1"/>
  <c r="I2" i="1"/>
  <c r="H2" i="1"/>
  <c r="G2" i="1"/>
  <c r="F2" i="1"/>
  <c r="A5" i="2"/>
  <c r="A6" i="2"/>
  <c r="A7" i="2"/>
  <c r="A8" i="2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/>
  <c r="A20" i="2" s="1"/>
  <c r="A21" i="2" s="1"/>
  <c r="A22" i="2" s="1"/>
  <c r="A23" i="2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</calcChain>
</file>

<file path=xl/sharedStrings.xml><?xml version="1.0" encoding="utf-8"?>
<sst xmlns="http://schemas.openxmlformats.org/spreadsheetml/2006/main" count="618" uniqueCount="204">
  <si>
    <t>Định dạng</t>
  </si>
  <si>
    <t>Chưa định dạng</t>
  </si>
  <si>
    <t>a</t>
  </si>
  <si>
    <t>b</t>
  </si>
  <si>
    <t>a&gt;b</t>
  </si>
  <si>
    <t>a&lt;b</t>
  </si>
  <si>
    <t>a&gt;=b</t>
  </si>
  <si>
    <t>a&lt;=b</t>
  </si>
  <si>
    <t>A</t>
  </si>
  <si>
    <t>B</t>
  </si>
  <si>
    <t>A/B</t>
  </si>
  <si>
    <t>Căn bậc 2 của A</t>
  </si>
  <si>
    <t>A lũy thừa B</t>
  </si>
  <si>
    <t>(A-B)*A</t>
  </si>
  <si>
    <t>MS Exel</t>
  </si>
  <si>
    <t>Lấy từ trái qua 3 kí tự</t>
  </si>
  <si>
    <t>Lấy từ trái qua 4 kí tự</t>
  </si>
  <si>
    <t>Lấy từ ví trí thứ 2 lấy 3 kí tự</t>
  </si>
  <si>
    <t>Đổi thành chữ hoa</t>
  </si>
  <si>
    <t>Đổi thành chữ thường</t>
  </si>
  <si>
    <t>Viết hoa chữ đầu tiên</t>
  </si>
  <si>
    <t>Tìm vị trí của "Ex" trong chuỗi</t>
  </si>
  <si>
    <t>X</t>
  </si>
  <si>
    <t>Y</t>
  </si>
  <si>
    <t>Mod(x,y)</t>
  </si>
  <si>
    <t>Int(x/y)</t>
  </si>
  <si>
    <t>Sprt(x+y)</t>
  </si>
  <si>
    <t>Round(x/y ,2)</t>
  </si>
  <si>
    <t>Power(x,4)</t>
  </si>
  <si>
    <t>Product (x,y)</t>
  </si>
  <si>
    <t>Tổng cộng (sum)</t>
  </si>
  <si>
    <t>d</t>
  </si>
  <si>
    <t>study</t>
  </si>
  <si>
    <t>compare</t>
  </si>
  <si>
    <t>computer</t>
  </si>
  <si>
    <t>some</t>
  </si>
  <si>
    <t>command</t>
  </si>
  <si>
    <t>Learn</t>
  </si>
  <si>
    <t>Gía trị lớn nhất</t>
  </si>
  <si>
    <t>Gía trị nhỏ nhất</t>
  </si>
  <si>
    <t>Gía trị trung bình</t>
  </si>
  <si>
    <t xml:space="preserve">Tổng các giá trị </t>
  </si>
  <si>
    <t>Số ô chứa giá trị</t>
  </si>
  <si>
    <t>Số ô chứa giá trị chuỗi</t>
  </si>
  <si>
    <t>Số ô chứa giá trị &gt; 50</t>
  </si>
  <si>
    <t>Số ô bắt đầu bằng chữ "com"</t>
  </si>
  <si>
    <t>Họ</t>
  </si>
  <si>
    <t>SBD</t>
  </si>
  <si>
    <t>Tên</t>
  </si>
  <si>
    <t>Phái</t>
  </si>
  <si>
    <t>Năm sinh</t>
  </si>
  <si>
    <t>Nơi sinh</t>
  </si>
  <si>
    <t>Toán</t>
  </si>
  <si>
    <t>Lý</t>
  </si>
  <si>
    <t>Hóa</t>
  </si>
  <si>
    <t>Tổng điểm</t>
  </si>
  <si>
    <t>Ưu tiên</t>
  </si>
  <si>
    <t>Lâm Đức</t>
  </si>
  <si>
    <t>Trí</t>
  </si>
  <si>
    <t>Huế</t>
  </si>
  <si>
    <t xml:space="preserve">Nguyễn Thị </t>
  </si>
  <si>
    <t>Nghĩa</t>
  </si>
  <si>
    <t>x</t>
  </si>
  <si>
    <t>Đà Lạt</t>
  </si>
  <si>
    <t>Trần Hải</t>
  </si>
  <si>
    <t>Thanh</t>
  </si>
  <si>
    <t>Sông Bé</t>
  </si>
  <si>
    <t>Nguyễn Thuỵ Ngọc</t>
  </si>
  <si>
    <t>Châu</t>
  </si>
  <si>
    <t>Hà Nội</t>
  </si>
  <si>
    <t>Phan Thành</t>
  </si>
  <si>
    <t>Long</t>
  </si>
  <si>
    <t>TP. HCM</t>
  </si>
  <si>
    <t>Võ Trường</t>
  </si>
  <si>
    <t>Hải</t>
  </si>
  <si>
    <t>Nguyễn Ngọc</t>
  </si>
  <si>
    <t>Bích</t>
  </si>
  <si>
    <t>Thái Minh</t>
  </si>
  <si>
    <t>Tiền Giang</t>
  </si>
  <si>
    <t>Lê Thu</t>
  </si>
  <si>
    <t>Trang</t>
  </si>
  <si>
    <t>Nha Trang</t>
  </si>
  <si>
    <t xml:space="preserve">Trần Chí </t>
  </si>
  <si>
    <t>Đà Nẵng</t>
  </si>
  <si>
    <t xml:space="preserve">Nguyễn Bích </t>
  </si>
  <si>
    <t>Thủy</t>
  </si>
  <si>
    <t>Lê Ngọc</t>
  </si>
  <si>
    <t>Quỳnh</t>
  </si>
  <si>
    <t>Vũng Tàu</t>
  </si>
  <si>
    <t>Ngô Thanh</t>
  </si>
  <si>
    <t>Tâm</t>
  </si>
  <si>
    <t>Trần Như</t>
  </si>
  <si>
    <t>Nguyễn Thị Bích</t>
  </si>
  <si>
    <t>Minh Hải</t>
  </si>
  <si>
    <t xml:space="preserve">Trần Văn </t>
  </si>
  <si>
    <t>Linh</t>
  </si>
  <si>
    <t>Vũ Ngọc</t>
  </si>
  <si>
    <t>Sơn</t>
  </si>
  <si>
    <t>Phan Thái</t>
  </si>
  <si>
    <t>Trung</t>
  </si>
  <si>
    <t xml:space="preserve">Nguyễn Mạnh </t>
  </si>
  <si>
    <t>Dũng</t>
  </si>
  <si>
    <t xml:space="preserve">Lân Ngọc </t>
  </si>
  <si>
    <t>Kiên Giang</t>
  </si>
  <si>
    <t>A250-1</t>
  </si>
  <si>
    <t>B356-2</t>
  </si>
  <si>
    <t>C452-1</t>
  </si>
  <si>
    <t>B897-3</t>
  </si>
  <si>
    <t>B696-1</t>
  </si>
  <si>
    <t>C897-1</t>
  </si>
  <si>
    <t>D456-2</t>
  </si>
  <si>
    <t>A123-3</t>
  </si>
  <si>
    <t>C556-2</t>
  </si>
  <si>
    <t>D658-3</t>
  </si>
  <si>
    <t>C478-1</t>
  </si>
  <si>
    <t>B285-2</t>
  </si>
  <si>
    <t>A396-1</t>
  </si>
  <si>
    <t>B963-2</t>
  </si>
  <si>
    <t>D987-3</t>
  </si>
  <si>
    <t>B465-3</t>
  </si>
  <si>
    <t>C324-1</t>
  </si>
  <si>
    <t>A782-2</t>
  </si>
  <si>
    <t>A659-2</t>
  </si>
  <si>
    <t>A333-1</t>
  </si>
  <si>
    <t>Sinh</t>
  </si>
  <si>
    <t>ĐKQ</t>
  </si>
  <si>
    <t>Ngành thi</t>
  </si>
  <si>
    <t>Điểm chuẩn</t>
  </si>
  <si>
    <t>Kết quả</t>
  </si>
  <si>
    <t>KQ1</t>
  </si>
  <si>
    <t>KQ2</t>
  </si>
  <si>
    <t>STT</t>
  </si>
  <si>
    <t>KẾT QUẢ</t>
  </si>
  <si>
    <t>ĐẠT</t>
  </si>
  <si>
    <t>KHÔNG ĐẠT</t>
  </si>
  <si>
    <t>TỔNG CỘNG</t>
  </si>
  <si>
    <t>TỔNG SỐ HỌC SINH</t>
  </si>
  <si>
    <t>TỶ LỆ (%)</t>
  </si>
  <si>
    <t>Bảng Thống Kê</t>
  </si>
  <si>
    <t>Mã NV</t>
  </si>
  <si>
    <t xml:space="preserve">Phái </t>
  </si>
  <si>
    <t>Ngày vào làm việc</t>
  </si>
  <si>
    <t>Ngày công</t>
  </si>
  <si>
    <t>Bậc Lương</t>
  </si>
  <si>
    <t>Phòng ban</t>
  </si>
  <si>
    <t>Thâm niên</t>
  </si>
  <si>
    <t>Phụ cấp thâm niên</t>
  </si>
  <si>
    <t>Lương</t>
  </si>
  <si>
    <t>Tạm ứng</t>
  </si>
  <si>
    <t>Thực lãnh</t>
  </si>
  <si>
    <t xml:space="preserve">Ngày làm mốc </t>
  </si>
  <si>
    <t xml:space="preserve">Ngày công quy định </t>
  </si>
  <si>
    <t>Kỹ thuật</t>
  </si>
  <si>
    <t>Kế toán</t>
  </si>
  <si>
    <t>Kế hoạch</t>
  </si>
  <si>
    <t xml:space="preserve">                         Danh sách nhân viên thuộc phòng Kỹ Thuật</t>
  </si>
  <si>
    <t xml:space="preserve">                         Những nhân viên có 4 triệu &lt;= Thực lãnh &lt;= 5 triệu.</t>
  </si>
  <si>
    <t>Họ Lót</t>
  </si>
  <si>
    <t>Số Báo Danh</t>
  </si>
  <si>
    <t>Hoá</t>
  </si>
  <si>
    <t>Tổng Điểm</t>
  </si>
  <si>
    <t>Kết Quả</t>
  </si>
  <si>
    <t>Nguyễn Xuân</t>
  </si>
  <si>
    <t>Ái</t>
  </si>
  <si>
    <t>A012</t>
  </si>
  <si>
    <t>Hồ Thị</t>
  </si>
  <si>
    <t>Cúc</t>
  </si>
  <si>
    <t>B067</t>
  </si>
  <si>
    <t>Ngô Ngọc</t>
  </si>
  <si>
    <t>Định</t>
  </si>
  <si>
    <t>A065</t>
  </si>
  <si>
    <t>Lê Thị Ngọc</t>
  </si>
  <si>
    <t>Hân</t>
  </si>
  <si>
    <t>C123</t>
  </si>
  <si>
    <t>Lê Quang</t>
  </si>
  <si>
    <t>Lợi</t>
  </si>
  <si>
    <t>A115</t>
  </si>
  <si>
    <t>Trần Đình</t>
  </si>
  <si>
    <t>Phú</t>
  </si>
  <si>
    <t>B106</t>
  </si>
  <si>
    <t>Võ Vinh</t>
  </si>
  <si>
    <t>Quang</t>
  </si>
  <si>
    <t>C165</t>
  </si>
  <si>
    <t>Đinh Xuân</t>
  </si>
  <si>
    <t>Thành</t>
  </si>
  <si>
    <t>C209</t>
  </si>
  <si>
    <t>Lý Ngọc</t>
  </si>
  <si>
    <t>Thịnh</t>
  </si>
  <si>
    <t>B231</t>
  </si>
  <si>
    <t>Văn Viết</t>
  </si>
  <si>
    <t>Tạo</t>
  </si>
  <si>
    <t>A256</t>
  </si>
  <si>
    <t>Huỳnh Văn</t>
  </si>
  <si>
    <t>Xê</t>
  </si>
  <si>
    <t>A300</t>
  </si>
  <si>
    <t>BẢNG THỐNG KÊ</t>
  </si>
  <si>
    <t>Số thí sinh đậu</t>
  </si>
  <si>
    <t>Số thí sinh hỏng</t>
  </si>
  <si>
    <t>T/M Hội Đồng tuyển sinh</t>
  </si>
  <si>
    <t>(Nguyễn Lê Bảo Long)</t>
  </si>
  <si>
    <t>&gt;5</t>
  </si>
  <si>
    <t>Đậu</t>
  </si>
  <si>
    <t>Tổng điểm tăng dần của những thí sinh</t>
  </si>
  <si>
    <t>Thí sinh có điểm 3 môn Toán , Lý, Hoá &gt;5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</si>
</sst>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mmm\-d"/>
    <numFmt numFmtId="165" formatCode="#,##0.00\ [$đồng]"/>
    <numFmt numFmtId="166" formatCode="[$VND]\ #,##0.00"/>
    <numFmt numFmtId="167" formatCode="d/m/yyyy"/>
    <numFmt numFmtId="168" formatCode="[$-F800]dddd\,\ mmmm\ dd\,\ yyyy"/>
    <numFmt numFmtId="169" formatCode="00\-000\-0000"/>
    <numFmt numFmtId="170" formatCode="[$-F400]h:mm:ss\ AM/PM"/>
    <numFmt numFmtId="171" formatCode="00"/>
    <numFmt numFmtId="172" formatCode="#,##0\ [$VND]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0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0" fillId="0" borderId="1" xfId="0" applyNumberFormat="1" applyBorder="1"/>
    <xf numFmtId="43" fontId="0" fillId="0" borderId="1" xfId="0" applyNumberFormat="1" applyBorder="1" applyAlignment="1"/>
    <xf numFmtId="169" fontId="0" fillId="0" borderId="1" xfId="0" applyNumberFormat="1" applyBorder="1"/>
    <xf numFmtId="21" fontId="0" fillId="0" borderId="1" xfId="0" applyNumberFormat="1" applyBorder="1"/>
    <xf numFmtId="170" fontId="0" fillId="0" borderId="1" xfId="0" applyNumberFormat="1" applyBorder="1"/>
    <xf numFmtId="12" fontId="0" fillId="0" borderId="1" xfId="0" applyNumberFormat="1" applyBorder="1"/>
    <xf numFmtId="13" fontId="0" fillId="0" borderId="1" xfId="0" applyNumberFormat="1" applyBorder="1"/>
    <xf numFmtId="11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15" xfId="0" applyBorder="1"/>
    <xf numFmtId="0" fontId="0" fillId="5" borderId="10" xfId="0" applyFill="1" applyBorder="1"/>
    <xf numFmtId="0" fontId="0" fillId="5" borderId="6" xfId="0" applyFill="1" applyBorder="1"/>
    <xf numFmtId="0" fontId="0" fillId="5" borderId="4" xfId="0" applyFill="1" applyBorder="1"/>
    <xf numFmtId="0" fontId="0" fillId="5" borderId="7" xfId="0" applyFill="1" applyBorder="1"/>
    <xf numFmtId="0" fontId="3" fillId="0" borderId="17" xfId="0" applyFont="1" applyBorder="1"/>
    <xf numFmtId="0" fontId="0" fillId="0" borderId="0" xfId="0"/>
    <xf numFmtId="0" fontId="3" fillId="0" borderId="17" xfId="0" applyFont="1" applyBorder="1" applyAlignment="1">
      <alignment horizontal="right"/>
    </xf>
    <xf numFmtId="0" fontId="0" fillId="0" borderId="17" xfId="0" applyBorder="1"/>
    <xf numFmtId="171" fontId="0" fillId="0" borderId="17" xfId="0" quotePrefix="1" applyNumberFormat="1" applyBorder="1"/>
    <xf numFmtId="171" fontId="0" fillId="0" borderId="17" xfId="0" applyNumberFormat="1" applyBorder="1"/>
    <xf numFmtId="0" fontId="0" fillId="0" borderId="17" xfId="0" applyBorder="1" applyAlignment="1">
      <alignment horizontal="right"/>
    </xf>
    <xf numFmtId="0" fontId="4" fillId="0" borderId="0" xfId="0" applyFont="1"/>
    <xf numFmtId="0" fontId="0" fillId="0" borderId="17" xfId="0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9" fontId="0" fillId="0" borderId="17" xfId="2" applyFon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4" fontId="3" fillId="0" borderId="17" xfId="0" applyNumberFormat="1" applyFont="1" applyBorder="1" applyAlignment="1">
      <alignment horizontal="right"/>
    </xf>
    <xf numFmtId="0" fontId="0" fillId="0" borderId="0" xfId="0"/>
    <xf numFmtId="0" fontId="0" fillId="5" borderId="0" xfId="0" applyFill="1"/>
    <xf numFmtId="14" fontId="0" fillId="5" borderId="0" xfId="0" applyNumberFormat="1" applyFill="1"/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43" fontId="2" fillId="0" borderId="17" xfId="1" applyFont="1" applyBorder="1" applyAlignment="1">
      <alignment horizontal="center" vertical="center"/>
    </xf>
    <xf numFmtId="172" fontId="0" fillId="0" borderId="17" xfId="0" applyNumberFormat="1" applyBorder="1"/>
    <xf numFmtId="0" fontId="0" fillId="2" borderId="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43" fontId="2" fillId="0" borderId="17" xfId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18" xfId="2" applyFont="1" applyBorder="1" applyAlignment="1">
      <alignment horizontal="center"/>
    </xf>
    <xf numFmtId="9" fontId="0" fillId="0" borderId="19" xfId="2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0" xfId="0" applyAlignme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/>
    <xf numFmtId="0" fontId="2" fillId="0" borderId="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</a:t>
            </a:r>
            <a:r>
              <a:rPr lang="en-US" baseline="0"/>
              <a:t> SỐ HỌC SINH</a:t>
            </a:r>
            <a:endParaRPr lang="en-US"/>
          </a:p>
        </c:rich>
      </c:tx>
      <c:layout>
        <c:manualLayout>
          <c:xMode val="edge"/>
          <c:yMode val="edge"/>
          <c:x val="0.446124890638670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44-D145-A0FF-6DD63684F9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44-D145-A0FF-6DD63684F9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44-D145-A0FF-6DD63684F9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'BT2'!$D$50:$F$50</c:f>
              <c:strCache>
                <c:ptCount val="2"/>
                <c:pt idx="0">
                  <c:v>ĐẠT</c:v>
                </c:pt>
                <c:pt idx="1">
                  <c:v>KHÔNG ĐẠT</c:v>
                </c:pt>
              </c:strCache>
            </c:strRef>
          </c:cat>
          <c:val>
            <c:numRef>
              <c:f>'BT2'!$D$52:$F$52</c:f>
              <c:numCache>
                <c:formatCode>0%</c:formatCode>
                <c:ptCount val="3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7-4A52-86A3-1D953A53B0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32655293088364"/>
          <c:y val="6.0185185185185182E-2"/>
          <c:w val="0.46979133858267719"/>
          <c:h val="0.782985564304461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strRef>
              <c:f>'BT4'!$C$15:$C$16</c:f>
              <c:strCache>
                <c:ptCount val="2"/>
                <c:pt idx="0">
                  <c:v>Số thí sinh đậu</c:v>
                </c:pt>
                <c:pt idx="1">
                  <c:v>Số thí sinh hỏng</c:v>
                </c:pt>
              </c:strCache>
            </c:strRef>
          </c:cat>
          <c:val>
            <c:numRef>
              <c:f>'BT4'!$D$15:$D$16</c:f>
              <c:numCache>
                <c:formatCode>General</c:formatCode>
                <c:ptCount val="2"/>
                <c:pt idx="0">
                  <c:v>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6-844F-B2FB-FD3F3BE5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600075</xdr:colOff>
      <xdr:row>7</xdr:row>
      <xdr:rowOff>185737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6EC7D0-6012-EB04-7195-FA4E05D15449}"/>
            </a:ext>
          </a:extLst>
        </xdr:cNvPr>
        <xdr:cNvSpPr txBox="1"/>
      </xdr:nvSpPr>
      <xdr:spPr>
        <a:xfrm>
          <a:off x="8267700" y="1566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190500</xdr:colOff>
      <xdr:row>10</xdr:row>
      <xdr:rowOff>28575</xdr:rowOff>
    </xdr:from>
    <xdr:ext cx="4496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BD6B6D2-DBE6-4C11-9D8B-9139BC319FBC}"/>
                </a:ext>
              </a:extLst>
            </xdr:cNvPr>
            <xdr:cNvSpPr txBox="1"/>
          </xdr:nvSpPr>
          <xdr:spPr>
            <a:xfrm>
              <a:off x="4505325" y="2028825"/>
              <a:ext cx="4496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p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BD6B6D2-DBE6-4C11-9D8B-9139BC319FBC}"/>
                </a:ext>
              </a:extLst>
            </xdr:cNvPr>
            <xdr:cNvSpPr txBox="1"/>
          </xdr:nvSpPr>
          <xdr:spPr>
            <a:xfrm>
              <a:off x="4505325" y="2028825"/>
              <a:ext cx="4496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𝐴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100" i="0">
                  <a:latin typeface="Cambria Math" panose="02040503050406030204" pitchFamily="18" charset="0"/>
                </a:rPr>
                <a:t>2+𝐵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9525</xdr:colOff>
      <xdr:row>10</xdr:row>
      <xdr:rowOff>14287</xdr:rowOff>
    </xdr:from>
    <xdr:ext cx="1228028" cy="174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A6B6CF3-08BD-171D-4174-5BC5634F8D25}"/>
                </a:ext>
              </a:extLst>
            </xdr:cNvPr>
            <xdr:cNvSpPr txBox="1"/>
          </xdr:nvSpPr>
          <xdr:spPr>
            <a:xfrm>
              <a:off x="5972175" y="2014537"/>
              <a:ext cx="1228028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)/(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A6B6CF3-08BD-171D-4174-5BC5634F8D25}"/>
                </a:ext>
              </a:extLst>
            </xdr:cNvPr>
            <xdr:cNvSpPr txBox="1"/>
          </xdr:nvSpPr>
          <xdr:spPr>
            <a:xfrm>
              <a:off x="5972175" y="2014537"/>
              <a:ext cx="1228028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((𝐴+𝐵)/(𝐴−𝐵))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4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185737</xdr:colOff>
      <xdr:row>49</xdr:row>
      <xdr:rowOff>23812</xdr:rowOff>
    </xdr:from>
    <xdr:to>
      <xdr:col>14</xdr:col>
      <xdr:colOff>252412</xdr:colOff>
      <xdr:row>63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AD9B38-EFDA-0FF1-8384-C1822E728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338044</xdr:colOff>
      <xdr:row>2</xdr:row>
      <xdr:rowOff>131857</xdr:rowOff>
    </xdr:from>
    <xdr:to>
      <xdr:col>14</xdr:col>
      <xdr:colOff>801220</xdr:colOff>
      <xdr:row>17</xdr:row>
      <xdr:rowOff>73586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2D04E4-DC11-9842-ACBD-DDD0D60FE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433F-991D-4EF1-B133-466A8CF412BF}">
  <dimension ref="A1:M42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14" customWidth="1"/>
    <col min="2" max="2" width="19.83203125" customWidth="1"/>
    <col min="3" max="3" width="14.6640625" bestFit="1" customWidth="1"/>
    <col min="4" max="4" width="8.1640625" customWidth="1"/>
    <col min="5" max="5" width="9.33203125" customWidth="1"/>
    <col min="6" max="6" width="13.1640625" bestFit="1" customWidth="1"/>
    <col min="7" max="7" width="13.1640625" customWidth="1"/>
    <col min="8" max="8" width="19.1640625" customWidth="1"/>
    <col min="10" max="10" width="17.33203125" customWidth="1"/>
  </cols>
  <sheetData>
    <row r="1" spans="1:9" ht="16" thickBot="1" x14ac:dyDescent="0.25">
      <c r="A1" s="3" t="s">
        <v>1</v>
      </c>
      <c r="B1" s="3" t="s">
        <v>0</v>
      </c>
      <c r="C1" s="1"/>
      <c r="D1" s="25" t="s">
        <v>2</v>
      </c>
      <c r="E1" s="25" t="s">
        <v>3</v>
      </c>
      <c r="F1" s="25" t="s">
        <v>4</v>
      </c>
      <c r="G1" s="25" t="s">
        <v>5</v>
      </c>
      <c r="H1" s="26" t="s">
        <v>6</v>
      </c>
      <c r="I1" s="25" t="s">
        <v>7</v>
      </c>
    </row>
    <row r="2" spans="1:9" ht="16" thickBot="1" x14ac:dyDescent="0.25">
      <c r="A2" s="4">
        <v>54666</v>
      </c>
      <c r="B2" s="5">
        <v>54666</v>
      </c>
      <c r="C2" s="1"/>
      <c r="D2" s="20">
        <v>47</v>
      </c>
      <c r="E2" s="21">
        <v>23</v>
      </c>
      <c r="F2" s="21" t="b">
        <f>D2&gt;E2</f>
        <v>1</v>
      </c>
      <c r="G2" s="21" t="b">
        <f>D2&lt;E2</f>
        <v>0</v>
      </c>
      <c r="H2" s="20" t="b">
        <f>D2&gt;=E2</f>
        <v>1</v>
      </c>
      <c r="I2" s="21" t="b">
        <f>D2&lt;=E2</f>
        <v>0</v>
      </c>
    </row>
    <row r="3" spans="1:9" ht="16" thickBot="1" x14ac:dyDescent="0.25">
      <c r="A3" s="12">
        <v>54666</v>
      </c>
      <c r="B3" s="6">
        <v>54666</v>
      </c>
      <c r="C3" s="1"/>
      <c r="D3" s="20">
        <v>58</v>
      </c>
      <c r="E3" s="20">
        <v>58</v>
      </c>
      <c r="F3" s="21" t="b">
        <f t="shared" ref="F3:F5" si="0">D3&gt;E3</f>
        <v>0</v>
      </c>
      <c r="G3" s="21" t="b">
        <f t="shared" ref="G3:G5" si="1">D3&lt;E3</f>
        <v>0</v>
      </c>
      <c r="H3" s="20" t="b">
        <f t="shared" ref="H3:H5" si="2">D3&gt;=E3</f>
        <v>1</v>
      </c>
      <c r="I3" s="21" t="b">
        <f t="shared" ref="I3:I5" si="3">D3&lt;=E3</f>
        <v>1</v>
      </c>
    </row>
    <row r="4" spans="1:9" ht="16" thickBot="1" x14ac:dyDescent="0.25">
      <c r="A4" s="4">
        <v>0.45660000000000001</v>
      </c>
      <c r="B4" s="7">
        <v>0.45660000000000001</v>
      </c>
      <c r="C4" s="2"/>
      <c r="D4" s="20">
        <v>12</v>
      </c>
      <c r="E4" s="20">
        <v>49</v>
      </c>
      <c r="F4" s="21" t="b">
        <f t="shared" si="0"/>
        <v>0</v>
      </c>
      <c r="G4" s="21" t="b">
        <f t="shared" si="1"/>
        <v>1</v>
      </c>
      <c r="H4" s="20" t="b">
        <f t="shared" si="2"/>
        <v>0</v>
      </c>
      <c r="I4" s="21" t="b">
        <f t="shared" si="3"/>
        <v>1</v>
      </c>
    </row>
    <row r="5" spans="1:9" ht="16" thickBot="1" x14ac:dyDescent="0.25">
      <c r="A5" s="8">
        <v>45053</v>
      </c>
      <c r="B5" s="9">
        <v>45053</v>
      </c>
      <c r="C5" s="1"/>
      <c r="D5" s="20">
        <v>35</v>
      </c>
      <c r="E5" s="20">
        <v>75</v>
      </c>
      <c r="F5" s="21" t="b">
        <f t="shared" si="0"/>
        <v>0</v>
      </c>
      <c r="G5" s="21" t="b">
        <f t="shared" si="1"/>
        <v>1</v>
      </c>
      <c r="H5" s="20" t="b">
        <f t="shared" si="2"/>
        <v>0</v>
      </c>
      <c r="I5" s="21" t="b">
        <f t="shared" si="3"/>
        <v>1</v>
      </c>
    </row>
    <row r="6" spans="1:9" ht="16" thickBot="1" x14ac:dyDescent="0.25">
      <c r="A6" s="8">
        <v>45053</v>
      </c>
      <c r="B6" s="10">
        <v>45053</v>
      </c>
      <c r="C6" s="1"/>
      <c r="D6" s="1"/>
    </row>
    <row r="7" spans="1:9" ht="16" thickBot="1" x14ac:dyDescent="0.25">
      <c r="A7" s="8">
        <v>45053</v>
      </c>
      <c r="B7" s="11">
        <v>45053</v>
      </c>
      <c r="C7" s="1"/>
      <c r="D7" s="25" t="s">
        <v>8</v>
      </c>
      <c r="E7" s="25" t="s">
        <v>9</v>
      </c>
      <c r="F7" s="25" t="s">
        <v>10</v>
      </c>
      <c r="G7" s="25" t="s">
        <v>12</v>
      </c>
      <c r="H7" s="25" t="s">
        <v>11</v>
      </c>
    </row>
    <row r="8" spans="1:9" ht="16" thickBot="1" x14ac:dyDescent="0.25">
      <c r="A8" s="12">
        <v>646564622</v>
      </c>
      <c r="B8" s="13">
        <v>646564622</v>
      </c>
      <c r="C8" s="1"/>
      <c r="D8" s="20">
        <v>1</v>
      </c>
      <c r="E8" s="22">
        <v>10</v>
      </c>
      <c r="F8" s="20">
        <f>D8/E8</f>
        <v>0.1</v>
      </c>
      <c r="G8" s="20">
        <f>D8^E8</f>
        <v>1</v>
      </c>
      <c r="H8" s="20">
        <f>SQRT(D8)</f>
        <v>1</v>
      </c>
    </row>
    <row r="9" spans="1:9" ht="16" thickBot="1" x14ac:dyDescent="0.25">
      <c r="A9" s="12">
        <v>8489325103</v>
      </c>
      <c r="B9" s="14">
        <v>8489325103</v>
      </c>
      <c r="C9" s="1"/>
      <c r="D9" s="20">
        <v>3</v>
      </c>
      <c r="E9" s="22">
        <v>3</v>
      </c>
      <c r="F9" s="20">
        <f>D9/E9</f>
        <v>1</v>
      </c>
      <c r="G9" s="20">
        <f>D9^E9</f>
        <v>27</v>
      </c>
      <c r="H9" s="20">
        <f>SQRT(D9)</f>
        <v>1.7320508075688772</v>
      </c>
    </row>
    <row r="10" spans="1:9" ht="16" thickBot="1" x14ac:dyDescent="0.25">
      <c r="A10" s="15">
        <v>0.66500000000000004</v>
      </c>
      <c r="B10" s="16">
        <v>0.66500000000000004</v>
      </c>
      <c r="C10" s="1"/>
      <c r="D10" s="1"/>
    </row>
    <row r="11" spans="1:9" ht="16" thickBot="1" x14ac:dyDescent="0.25">
      <c r="A11" s="12">
        <v>0.25</v>
      </c>
      <c r="B11" s="17">
        <v>0.25</v>
      </c>
      <c r="C11" s="1"/>
      <c r="D11" s="25" t="s">
        <v>8</v>
      </c>
      <c r="E11" s="25" t="s">
        <v>9</v>
      </c>
      <c r="F11" s="25"/>
      <c r="G11" s="25" t="s">
        <v>13</v>
      </c>
      <c r="H11" s="25"/>
    </row>
    <row r="12" spans="1:9" ht="16" thickBot="1" x14ac:dyDescent="0.25">
      <c r="A12" s="12">
        <v>2.5000000000000001E-2</v>
      </c>
      <c r="B12" s="18">
        <v>2.5000000000000001E-2</v>
      </c>
      <c r="C12" s="1"/>
      <c r="D12" s="20">
        <v>16</v>
      </c>
      <c r="E12" s="22">
        <v>4</v>
      </c>
      <c r="F12" s="20">
        <f>D12^2+E12</f>
        <v>260</v>
      </c>
      <c r="G12" s="20">
        <f>(D12-E12)*F12</f>
        <v>3120</v>
      </c>
      <c r="H12" s="20">
        <f>((D12+E12)/(D12+E12))^4</f>
        <v>1</v>
      </c>
    </row>
    <row r="13" spans="1:9" ht="16" thickBot="1" x14ac:dyDescent="0.25">
      <c r="A13" s="12">
        <v>646564622</v>
      </c>
      <c r="B13" s="19">
        <v>646564622</v>
      </c>
      <c r="C13" s="1"/>
      <c r="D13" s="20">
        <v>5</v>
      </c>
      <c r="E13" s="22">
        <v>5</v>
      </c>
      <c r="F13" s="20">
        <f>D13^2+E13</f>
        <v>30</v>
      </c>
      <c r="G13" s="20">
        <f>(D13-E13)*F13</f>
        <v>0</v>
      </c>
      <c r="H13" s="20">
        <f>((D13+E13)/(D13+E13))^4</f>
        <v>1</v>
      </c>
    </row>
    <row r="16" spans="1:9" ht="16" thickBot="1" x14ac:dyDescent="0.25"/>
    <row r="17" spans="1:8" ht="16" thickBot="1" x14ac:dyDescent="0.25">
      <c r="A17" s="65" t="s">
        <v>14</v>
      </c>
      <c r="B17" s="65"/>
      <c r="C17" s="65"/>
    </row>
    <row r="18" spans="1:8" ht="16" thickBot="1" x14ac:dyDescent="0.25">
      <c r="A18" s="23" t="s">
        <v>15</v>
      </c>
      <c r="B18" s="20"/>
      <c r="C18" s="24" t="str">
        <f>LEFT(A17,3)</f>
        <v xml:space="preserve">MS </v>
      </c>
    </row>
    <row r="19" spans="1:8" ht="16" thickBot="1" x14ac:dyDescent="0.25">
      <c r="A19" s="23" t="s">
        <v>16</v>
      </c>
      <c r="B19" s="20"/>
      <c r="C19" s="24" t="str">
        <f>RIGHT(A17,4)</f>
        <v>Exel</v>
      </c>
    </row>
    <row r="20" spans="1:8" ht="16" thickBot="1" x14ac:dyDescent="0.25">
      <c r="A20" s="23" t="s">
        <v>17</v>
      </c>
      <c r="B20" s="20"/>
      <c r="C20" s="24" t="str">
        <f>MID(A17, 2,3)</f>
        <v>S E</v>
      </c>
    </row>
    <row r="21" spans="1:8" ht="16" thickBot="1" x14ac:dyDescent="0.25">
      <c r="A21" s="23" t="s">
        <v>18</v>
      </c>
      <c r="B21" s="20"/>
      <c r="C21" s="24" t="str">
        <f>UPPER(A17)</f>
        <v>MS EXEL</v>
      </c>
    </row>
    <row r="22" spans="1:8" ht="16" thickBot="1" x14ac:dyDescent="0.25">
      <c r="A22" s="23" t="s">
        <v>19</v>
      </c>
      <c r="B22" s="20"/>
      <c r="C22" s="24" t="str">
        <f>LOWER(A17)</f>
        <v>ms exel</v>
      </c>
    </row>
    <row r="23" spans="1:8" ht="16" thickBot="1" x14ac:dyDescent="0.25">
      <c r="A23" s="23" t="s">
        <v>20</v>
      </c>
      <c r="B23" s="20"/>
      <c r="C23" s="24" t="str">
        <f>PROPER(A17)</f>
        <v>Ms Exel</v>
      </c>
    </row>
    <row r="24" spans="1:8" ht="16" thickBot="1" x14ac:dyDescent="0.25">
      <c r="A24" s="23" t="s">
        <v>21</v>
      </c>
      <c r="B24" s="20"/>
      <c r="C24" s="24">
        <f>FIND("Ex",A17)</f>
        <v>4</v>
      </c>
    </row>
    <row r="26" spans="1:8" ht="16" thickBot="1" x14ac:dyDescent="0.25"/>
    <row r="27" spans="1:8" ht="16" thickBot="1" x14ac:dyDescent="0.25">
      <c r="A27" s="27" t="s">
        <v>22</v>
      </c>
      <c r="B27" s="27" t="s">
        <v>23</v>
      </c>
      <c r="C27" s="27" t="s">
        <v>24</v>
      </c>
      <c r="D27" s="27" t="s">
        <v>25</v>
      </c>
      <c r="E27" s="27" t="s">
        <v>26</v>
      </c>
      <c r="F27" s="27" t="s">
        <v>27</v>
      </c>
      <c r="G27" s="27" t="s">
        <v>28</v>
      </c>
      <c r="H27" s="27" t="s">
        <v>29</v>
      </c>
    </row>
    <row r="28" spans="1:8" ht="16" thickBot="1" x14ac:dyDescent="0.25">
      <c r="A28" s="27">
        <v>7</v>
      </c>
      <c r="B28" s="27">
        <v>2</v>
      </c>
      <c r="C28" s="28">
        <f>MOD(A28,B28)</f>
        <v>1</v>
      </c>
      <c r="D28" s="28">
        <f>INT(A28/B28)</f>
        <v>3</v>
      </c>
      <c r="E28" s="28">
        <f>SQRT(A28+B28)</f>
        <v>3</v>
      </c>
      <c r="F28" s="28">
        <f>ROUND(A28/B28,2)</f>
        <v>3.5</v>
      </c>
      <c r="G28" s="28">
        <f>POWER(A28,4)</f>
        <v>2401</v>
      </c>
      <c r="H28" s="28">
        <f>PRODUCT(A28,B28)</f>
        <v>14</v>
      </c>
    </row>
    <row r="29" spans="1:8" ht="16" thickBot="1" x14ac:dyDescent="0.25">
      <c r="A29" s="27">
        <v>13</v>
      </c>
      <c r="B29" s="27">
        <v>-4</v>
      </c>
      <c r="C29" s="28">
        <f t="shared" ref="C29:C31" si="4">MOD(A29,B29)</f>
        <v>-3</v>
      </c>
      <c r="D29" s="28">
        <f t="shared" ref="D29:D31" si="5">INT(A29/B29)</f>
        <v>-4</v>
      </c>
      <c r="E29" s="28">
        <f t="shared" ref="E29:E31" si="6">SQRT(A29+B29)</f>
        <v>3</v>
      </c>
      <c r="F29" s="28">
        <f t="shared" ref="F29:F31" si="7">ROUND(A29/B29,2)</f>
        <v>-3.25</v>
      </c>
      <c r="G29" s="28">
        <f t="shared" ref="G29:G31" si="8">POWER(A29,4)</f>
        <v>28561</v>
      </c>
      <c r="H29" s="28">
        <f t="shared" ref="H29:H31" si="9">PRODUCT(A29,B29)</f>
        <v>-52</v>
      </c>
    </row>
    <row r="30" spans="1:8" ht="16" thickBot="1" x14ac:dyDescent="0.25">
      <c r="A30" s="27">
        <v>15</v>
      </c>
      <c r="B30" s="27">
        <v>66</v>
      </c>
      <c r="C30" s="28">
        <f t="shared" si="4"/>
        <v>15</v>
      </c>
      <c r="D30" s="28">
        <f t="shared" si="5"/>
        <v>0</v>
      </c>
      <c r="E30" s="28">
        <f t="shared" si="6"/>
        <v>9</v>
      </c>
      <c r="F30" s="28">
        <f t="shared" si="7"/>
        <v>0.23</v>
      </c>
      <c r="G30" s="28">
        <f t="shared" si="8"/>
        <v>50625</v>
      </c>
      <c r="H30" s="28">
        <f t="shared" si="9"/>
        <v>990</v>
      </c>
    </row>
    <row r="31" spans="1:8" ht="16" thickBot="1" x14ac:dyDescent="0.25">
      <c r="A31" s="27">
        <v>8</v>
      </c>
      <c r="B31" s="27">
        <v>8</v>
      </c>
      <c r="C31" s="28">
        <f t="shared" si="4"/>
        <v>0</v>
      </c>
      <c r="D31" s="28">
        <f t="shared" si="5"/>
        <v>1</v>
      </c>
      <c r="E31" s="28">
        <f t="shared" si="6"/>
        <v>4</v>
      </c>
      <c r="F31" s="28">
        <f t="shared" si="7"/>
        <v>1</v>
      </c>
      <c r="G31" s="28">
        <f t="shared" si="8"/>
        <v>4096</v>
      </c>
      <c r="H31" s="28">
        <f t="shared" si="9"/>
        <v>64</v>
      </c>
    </row>
    <row r="32" spans="1:8" ht="16" thickBot="1" x14ac:dyDescent="0.25">
      <c r="A32" s="70" t="s">
        <v>30</v>
      </c>
      <c r="B32" s="70"/>
      <c r="C32" s="28">
        <f>SUM(C28:C31)</f>
        <v>13</v>
      </c>
      <c r="D32" s="28">
        <f t="shared" ref="D32:H32" si="10">SUM(D28:D31)</f>
        <v>0</v>
      </c>
      <c r="E32" s="28">
        <f t="shared" si="10"/>
        <v>19</v>
      </c>
      <c r="F32" s="28">
        <f t="shared" si="10"/>
        <v>1.48</v>
      </c>
      <c r="G32" s="28">
        <f t="shared" si="10"/>
        <v>85683</v>
      </c>
      <c r="H32" s="28">
        <f t="shared" si="10"/>
        <v>1016</v>
      </c>
    </row>
    <row r="34" spans="4:13" ht="16" thickBot="1" x14ac:dyDescent="0.25"/>
    <row r="35" spans="4:13" ht="16" thickBot="1" x14ac:dyDescent="0.25">
      <c r="D35" s="29">
        <v>14</v>
      </c>
      <c r="E35" s="30">
        <v>28</v>
      </c>
      <c r="F35" s="31">
        <v>36</v>
      </c>
      <c r="G35" s="29" t="s">
        <v>31</v>
      </c>
      <c r="H35" s="29">
        <v>2</v>
      </c>
      <c r="J35" s="71" t="s">
        <v>38</v>
      </c>
      <c r="K35" s="72"/>
      <c r="L35" s="41">
        <f>MAX(D35:H41)</f>
        <v>85</v>
      </c>
      <c r="M35" s="40"/>
    </row>
    <row r="36" spans="4:13" ht="16" thickBot="1" x14ac:dyDescent="0.25">
      <c r="D36" s="29" t="s">
        <v>3</v>
      </c>
      <c r="E36" s="32"/>
      <c r="F36" s="33">
        <v>43</v>
      </c>
      <c r="G36" s="34">
        <v>57</v>
      </c>
      <c r="H36" s="33">
        <v>85</v>
      </c>
      <c r="J36" s="66" t="s">
        <v>39</v>
      </c>
      <c r="K36" s="67"/>
      <c r="L36" s="42">
        <f>MIN(D35:H41)</f>
        <v>2</v>
      </c>
    </row>
    <row r="37" spans="4:13" ht="16" thickBot="1" x14ac:dyDescent="0.25">
      <c r="D37" s="33">
        <v>19</v>
      </c>
      <c r="E37" s="34">
        <v>35</v>
      </c>
      <c r="F37" s="29" t="s">
        <v>32</v>
      </c>
      <c r="G37" s="34" t="s">
        <v>33</v>
      </c>
      <c r="H37" s="29">
        <v>13</v>
      </c>
      <c r="J37" s="66" t="s">
        <v>40</v>
      </c>
      <c r="K37" s="67"/>
      <c r="L37" s="42">
        <f>AVERAGE(D35:H41)</f>
        <v>36.208333333333336</v>
      </c>
    </row>
    <row r="38" spans="4:13" ht="16" thickBot="1" x14ac:dyDescent="0.25">
      <c r="D38" s="33">
        <v>23</v>
      </c>
      <c r="E38" s="35">
        <v>56</v>
      </c>
      <c r="F38" s="29">
        <v>14</v>
      </c>
      <c r="G38" s="34">
        <v>10</v>
      </c>
      <c r="H38" s="29" t="s">
        <v>34</v>
      </c>
      <c r="J38" s="66" t="s">
        <v>41</v>
      </c>
      <c r="K38" s="67"/>
      <c r="L38" s="43">
        <f>SUM(D35:H41)</f>
        <v>869</v>
      </c>
    </row>
    <row r="39" spans="4:13" ht="16" thickBot="1" x14ac:dyDescent="0.25">
      <c r="D39" s="29" t="s">
        <v>35</v>
      </c>
      <c r="E39" s="29">
        <v>49</v>
      </c>
      <c r="F39" s="36">
        <v>28</v>
      </c>
      <c r="G39" s="34">
        <v>53</v>
      </c>
      <c r="H39" s="29"/>
      <c r="J39" s="66" t="s">
        <v>42</v>
      </c>
      <c r="K39" s="67"/>
      <c r="L39" s="44">
        <f>COUNT(D35:H41)</f>
        <v>24</v>
      </c>
    </row>
    <row r="40" spans="4:13" ht="16" thickBot="1" x14ac:dyDescent="0.25">
      <c r="D40" s="37">
        <v>65</v>
      </c>
      <c r="E40" s="37">
        <v>8</v>
      </c>
      <c r="F40" s="29" t="s">
        <v>36</v>
      </c>
      <c r="G40" s="29">
        <v>52</v>
      </c>
      <c r="H40" s="29">
        <v>24</v>
      </c>
      <c r="J40" s="66" t="s">
        <v>43</v>
      </c>
      <c r="K40" s="67"/>
      <c r="L40" s="44">
        <f>COUNTIF(D35:H41, "*")</f>
        <v>8</v>
      </c>
    </row>
    <row r="41" spans="4:13" ht="16" thickBot="1" x14ac:dyDescent="0.25">
      <c r="D41" s="38">
        <v>66</v>
      </c>
      <c r="E41" s="38"/>
      <c r="F41" s="29">
        <v>51</v>
      </c>
      <c r="G41" s="29">
        <v>38</v>
      </c>
      <c r="H41" s="39" t="s">
        <v>37</v>
      </c>
      <c r="J41" s="68" t="s">
        <v>44</v>
      </c>
      <c r="K41" s="69"/>
      <c r="L41" s="44">
        <f>COUNTIF(D35:H41, "&gt;50")</f>
        <v>8</v>
      </c>
    </row>
    <row r="42" spans="4:13" ht="16" thickBot="1" x14ac:dyDescent="0.25">
      <c r="J42" s="66" t="s">
        <v>45</v>
      </c>
      <c r="K42" s="67"/>
      <c r="L42" s="44">
        <f>COUNTIF(D35:H41, "com*")</f>
        <v>3</v>
      </c>
    </row>
  </sheetData>
  <mergeCells count="10">
    <mergeCell ref="A17:C17"/>
    <mergeCell ref="J40:K40"/>
    <mergeCell ref="J41:K41"/>
    <mergeCell ref="J42:K42"/>
    <mergeCell ref="A32:B32"/>
    <mergeCell ref="J35:K35"/>
    <mergeCell ref="J36:K36"/>
    <mergeCell ref="J37:K37"/>
    <mergeCell ref="J38:K38"/>
    <mergeCell ref="J39:K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3581-6FA2-4A38-B50F-881363E589DF}">
  <sheetPr filterMode="1"/>
  <dimension ref="A1:S56"/>
  <sheetViews>
    <sheetView topLeftCell="A15" zoomScaleNormal="100" workbookViewId="0">
      <selection activeCell="G57" sqref="G57"/>
    </sheetView>
  </sheetViews>
  <sheetFormatPr baseColWidth="10" defaultColWidth="8.83203125" defaultRowHeight="15" x14ac:dyDescent="0.2"/>
  <cols>
    <col min="1" max="1" width="9.1640625" style="46"/>
    <col min="3" max="3" width="17.6640625" bestFit="1" customWidth="1"/>
    <col min="6" max="6" width="11" customWidth="1"/>
    <col min="7" max="7" width="11.1640625" customWidth="1"/>
    <col min="11" max="11" width="10.6640625" customWidth="1"/>
    <col min="12" max="12" width="11.1640625" customWidth="1"/>
    <col min="15" max="15" width="10.1640625" customWidth="1"/>
    <col min="16" max="16" width="11.5" bestFit="1" customWidth="1"/>
  </cols>
  <sheetData>
    <row r="1" spans="1:19" ht="16" thickBot="1" x14ac:dyDescent="0.25"/>
    <row r="2" spans="1:19" ht="16" thickBot="1" x14ac:dyDescent="0.25">
      <c r="A2" s="73" t="s">
        <v>131</v>
      </c>
      <c r="B2" s="73" t="s">
        <v>47</v>
      </c>
      <c r="C2" s="73" t="s">
        <v>46</v>
      </c>
      <c r="D2" s="73" t="s">
        <v>48</v>
      </c>
      <c r="E2" s="73" t="s">
        <v>49</v>
      </c>
      <c r="F2" s="73" t="s">
        <v>50</v>
      </c>
      <c r="G2" s="73" t="s">
        <v>51</v>
      </c>
      <c r="H2" s="73" t="s">
        <v>52</v>
      </c>
      <c r="I2" s="73" t="s">
        <v>124</v>
      </c>
      <c r="J2" s="73" t="s">
        <v>53</v>
      </c>
      <c r="K2" s="73" t="s">
        <v>54</v>
      </c>
      <c r="L2" s="73" t="s">
        <v>55</v>
      </c>
      <c r="M2" s="73" t="s">
        <v>56</v>
      </c>
      <c r="N2" s="73" t="s">
        <v>125</v>
      </c>
      <c r="O2" s="73" t="s">
        <v>126</v>
      </c>
      <c r="P2" s="73" t="s">
        <v>127</v>
      </c>
      <c r="Q2" s="74" t="s">
        <v>128</v>
      </c>
      <c r="R2" s="73" t="s">
        <v>129</v>
      </c>
      <c r="S2" s="73" t="s">
        <v>130</v>
      </c>
    </row>
    <row r="3" spans="1:19" ht="16" thickBo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3"/>
      <c r="S3" s="73"/>
    </row>
    <row r="4" spans="1:19" ht="16" thickBot="1" x14ac:dyDescent="0.25">
      <c r="A4" s="49">
        <v>1</v>
      </c>
      <c r="B4" s="45" t="s">
        <v>111</v>
      </c>
      <c r="C4" s="45" t="s">
        <v>75</v>
      </c>
      <c r="D4" s="45" t="s">
        <v>76</v>
      </c>
      <c r="E4" s="45"/>
      <c r="F4" s="47">
        <v>1973</v>
      </c>
      <c r="G4" s="45" t="s">
        <v>78</v>
      </c>
      <c r="H4" s="47">
        <v>10</v>
      </c>
      <c r="I4" s="47">
        <v>9</v>
      </c>
      <c r="J4" s="47">
        <v>7</v>
      </c>
      <c r="K4" s="47">
        <v>4</v>
      </c>
      <c r="L4" s="45">
        <f t="shared" ref="L4:L23" si="0">SUM(H4:K4)</f>
        <v>30</v>
      </c>
      <c r="M4" s="48">
        <f t="shared" ref="M4:M23" si="1">IF(RIGHT(B4,1) ="1",2, IF(RIGHT(B4,1)="2",1.5,1))</f>
        <v>1</v>
      </c>
      <c r="N4" s="48">
        <f t="shared" ref="N4:N23" si="2">SUM(L4:M4)</f>
        <v>31</v>
      </c>
      <c r="O4" s="51" t="str">
        <f t="shared" ref="O4:O23" si="3">IF(LEFT(B4,1)="A","Toán",IF(LEFT(B4,1)="B","Lý",IF(LEFT(B4,1)="C","Hóa","Sinh")))</f>
        <v>Toán</v>
      </c>
      <c r="P4" s="51">
        <f t="shared" ref="P4:P23" si="4">IF(O4 ="Toán",30,IF(O4="Lý",28,IF(O4="Hóa",26,24)))</f>
        <v>30</v>
      </c>
      <c r="Q4" s="48" t="str">
        <f t="shared" ref="Q4:Q14" si="5">IF(N4 &gt;= P4,"Đạt","  ")</f>
        <v>Đạt</v>
      </c>
      <c r="R4" s="51" t="str">
        <f t="shared" ref="R4:R23" si="6">IF(AND(H4&gt;=9, OR(K4&gt;=8,J4&gt;=8)),"x","")</f>
        <v/>
      </c>
      <c r="S4" s="51" t="str">
        <f t="shared" ref="S4:S23" si="7">IF(AND(H4&gt;=9, OR(K4&gt;=8,I4&gt;=8)),"x","")</f>
        <v>x</v>
      </c>
    </row>
    <row r="5" spans="1:19" ht="16" thickBot="1" x14ac:dyDescent="0.25">
      <c r="A5" s="50">
        <f t="shared" ref="A5:A23" si="8">A4+1</f>
        <v>2</v>
      </c>
      <c r="B5" s="45" t="s">
        <v>105</v>
      </c>
      <c r="C5" s="45" t="s">
        <v>102</v>
      </c>
      <c r="D5" s="45" t="s">
        <v>68</v>
      </c>
      <c r="E5" s="45" t="s">
        <v>62</v>
      </c>
      <c r="F5" s="47">
        <v>1974</v>
      </c>
      <c r="G5" s="45" t="s">
        <v>63</v>
      </c>
      <c r="H5" s="47">
        <v>6</v>
      </c>
      <c r="I5" s="47">
        <v>8</v>
      </c>
      <c r="J5" s="47">
        <v>5</v>
      </c>
      <c r="K5" s="47">
        <v>10</v>
      </c>
      <c r="L5" s="45">
        <f t="shared" si="0"/>
        <v>29</v>
      </c>
      <c r="M5" s="48">
        <f t="shared" si="1"/>
        <v>1.5</v>
      </c>
      <c r="N5" s="48">
        <f t="shared" si="2"/>
        <v>30.5</v>
      </c>
      <c r="O5" s="51" t="str">
        <f t="shared" si="3"/>
        <v>Lý</v>
      </c>
      <c r="P5" s="51">
        <f t="shared" si="4"/>
        <v>28</v>
      </c>
      <c r="Q5" s="48" t="str">
        <f t="shared" si="5"/>
        <v>Đạt</v>
      </c>
      <c r="R5" s="51" t="str">
        <f t="shared" si="6"/>
        <v/>
      </c>
      <c r="S5" s="51" t="str">
        <f t="shared" si="7"/>
        <v/>
      </c>
    </row>
    <row r="6" spans="1:19" ht="16" thickBot="1" x14ac:dyDescent="0.25">
      <c r="A6" s="50">
        <f t="shared" si="8"/>
        <v>3</v>
      </c>
      <c r="B6" s="45" t="s">
        <v>114</v>
      </c>
      <c r="C6" s="45" t="s">
        <v>67</v>
      </c>
      <c r="D6" s="45" t="s">
        <v>68</v>
      </c>
      <c r="E6" s="45" t="s">
        <v>62</v>
      </c>
      <c r="F6" s="47">
        <v>1986</v>
      </c>
      <c r="G6" s="45" t="s">
        <v>72</v>
      </c>
      <c r="H6" s="47">
        <v>7</v>
      </c>
      <c r="I6" s="47">
        <v>5</v>
      </c>
      <c r="J6" s="47">
        <v>8</v>
      </c>
      <c r="K6" s="47">
        <v>8</v>
      </c>
      <c r="L6" s="45">
        <f t="shared" si="0"/>
        <v>28</v>
      </c>
      <c r="M6" s="48">
        <f t="shared" si="1"/>
        <v>2</v>
      </c>
      <c r="N6" s="48">
        <f t="shared" si="2"/>
        <v>30</v>
      </c>
      <c r="O6" s="51" t="str">
        <f t="shared" si="3"/>
        <v>Hóa</v>
      </c>
      <c r="P6" s="51">
        <f t="shared" si="4"/>
        <v>26</v>
      </c>
      <c r="Q6" s="48" t="str">
        <f t="shared" si="5"/>
        <v>Đạt</v>
      </c>
      <c r="R6" s="51" t="str">
        <f t="shared" si="6"/>
        <v/>
      </c>
      <c r="S6" s="51" t="str">
        <f t="shared" si="7"/>
        <v/>
      </c>
    </row>
    <row r="7" spans="1:19" ht="16" thickBot="1" x14ac:dyDescent="0.25">
      <c r="A7" s="50">
        <f t="shared" si="8"/>
        <v>4</v>
      </c>
      <c r="B7" s="45" t="s">
        <v>110</v>
      </c>
      <c r="C7" s="45" t="s">
        <v>100</v>
      </c>
      <c r="D7" s="45" t="s">
        <v>101</v>
      </c>
      <c r="E7" s="45" t="s">
        <v>62</v>
      </c>
      <c r="F7" s="47">
        <v>1977</v>
      </c>
      <c r="G7" s="45" t="s">
        <v>63</v>
      </c>
      <c r="H7" s="47">
        <v>9</v>
      </c>
      <c r="I7" s="47">
        <v>10</v>
      </c>
      <c r="J7" s="47">
        <v>9</v>
      </c>
      <c r="K7" s="47">
        <v>9</v>
      </c>
      <c r="L7" s="45">
        <f t="shared" si="0"/>
        <v>37</v>
      </c>
      <c r="M7" s="48">
        <f t="shared" si="1"/>
        <v>1.5</v>
      </c>
      <c r="N7" s="48">
        <f t="shared" si="2"/>
        <v>38.5</v>
      </c>
      <c r="O7" s="51" t="str">
        <f t="shared" si="3"/>
        <v>Sinh</v>
      </c>
      <c r="P7" s="51">
        <f t="shared" si="4"/>
        <v>24</v>
      </c>
      <c r="Q7" s="48" t="str">
        <f t="shared" si="5"/>
        <v>Đạt</v>
      </c>
      <c r="R7" s="51" t="str">
        <f t="shared" si="6"/>
        <v>x</v>
      </c>
      <c r="S7" s="51" t="str">
        <f t="shared" si="7"/>
        <v>x</v>
      </c>
    </row>
    <row r="8" spans="1:19" ht="16" thickBot="1" x14ac:dyDescent="0.25">
      <c r="A8" s="50">
        <f t="shared" si="8"/>
        <v>5</v>
      </c>
      <c r="B8" s="45" t="s">
        <v>122</v>
      </c>
      <c r="C8" s="45" t="s">
        <v>73</v>
      </c>
      <c r="D8" s="45" t="s">
        <v>74</v>
      </c>
      <c r="E8" s="45"/>
      <c r="F8" s="47">
        <v>1985</v>
      </c>
      <c r="G8" s="45" t="s">
        <v>69</v>
      </c>
      <c r="H8" s="47">
        <v>8</v>
      </c>
      <c r="I8" s="47">
        <v>3</v>
      </c>
      <c r="J8" s="47">
        <v>5</v>
      </c>
      <c r="K8" s="47">
        <v>6</v>
      </c>
      <c r="L8" s="45">
        <f t="shared" si="0"/>
        <v>22</v>
      </c>
      <c r="M8" s="48">
        <f t="shared" si="1"/>
        <v>1.5</v>
      </c>
      <c r="N8" s="48">
        <f t="shared" si="2"/>
        <v>23.5</v>
      </c>
      <c r="O8" s="51" t="str">
        <f t="shared" si="3"/>
        <v>Toán</v>
      </c>
      <c r="P8" s="51">
        <f t="shared" si="4"/>
        <v>30</v>
      </c>
      <c r="Q8" s="48" t="str">
        <f t="shared" si="5"/>
        <v xml:space="preserve">  </v>
      </c>
      <c r="R8" s="51" t="str">
        <f t="shared" si="6"/>
        <v/>
      </c>
      <c r="S8" s="51" t="str">
        <f t="shared" si="7"/>
        <v/>
      </c>
    </row>
    <row r="9" spans="1:19" ht="16" thickBot="1" x14ac:dyDescent="0.25">
      <c r="A9" s="50">
        <f t="shared" si="8"/>
        <v>6</v>
      </c>
      <c r="B9" s="45" t="s">
        <v>118</v>
      </c>
      <c r="C9" s="45" t="s">
        <v>82</v>
      </c>
      <c r="D9" s="45" t="s">
        <v>74</v>
      </c>
      <c r="E9" s="45" t="s">
        <v>62</v>
      </c>
      <c r="F9" s="47">
        <v>1982</v>
      </c>
      <c r="G9" s="45" t="s">
        <v>93</v>
      </c>
      <c r="H9" s="47">
        <v>8</v>
      </c>
      <c r="I9" s="47">
        <v>8</v>
      </c>
      <c r="J9" s="47">
        <v>10</v>
      </c>
      <c r="K9" s="47">
        <v>7</v>
      </c>
      <c r="L9" s="45">
        <f t="shared" si="0"/>
        <v>33</v>
      </c>
      <c r="M9" s="48">
        <f t="shared" si="1"/>
        <v>1</v>
      </c>
      <c r="N9" s="48">
        <f t="shared" si="2"/>
        <v>34</v>
      </c>
      <c r="O9" s="51" t="str">
        <f t="shared" si="3"/>
        <v>Sinh</v>
      </c>
      <c r="P9" s="51">
        <f t="shared" si="4"/>
        <v>24</v>
      </c>
      <c r="Q9" s="48" t="str">
        <f t="shared" si="5"/>
        <v>Đạt</v>
      </c>
      <c r="R9" s="51" t="str">
        <f t="shared" si="6"/>
        <v/>
      </c>
      <c r="S9" s="51" t="str">
        <f t="shared" si="7"/>
        <v/>
      </c>
    </row>
    <row r="10" spans="1:19" ht="16" thickBot="1" x14ac:dyDescent="0.25">
      <c r="A10" s="50">
        <f t="shared" si="8"/>
        <v>7</v>
      </c>
      <c r="B10" s="45" t="s">
        <v>121</v>
      </c>
      <c r="C10" s="45" t="s">
        <v>94</v>
      </c>
      <c r="D10" s="45" t="s">
        <v>95</v>
      </c>
      <c r="E10" s="45"/>
      <c r="F10" s="47">
        <v>1986</v>
      </c>
      <c r="G10" s="45" t="s">
        <v>72</v>
      </c>
      <c r="H10" s="47">
        <v>6</v>
      </c>
      <c r="I10" s="47">
        <v>10</v>
      </c>
      <c r="J10" s="47">
        <v>9</v>
      </c>
      <c r="K10" s="47">
        <v>8</v>
      </c>
      <c r="L10" s="45">
        <f t="shared" si="0"/>
        <v>33</v>
      </c>
      <c r="M10" s="48">
        <f t="shared" si="1"/>
        <v>1.5</v>
      </c>
      <c r="N10" s="48">
        <f t="shared" si="2"/>
        <v>34.5</v>
      </c>
      <c r="O10" s="51" t="str">
        <f t="shared" si="3"/>
        <v>Toán</v>
      </c>
      <c r="P10" s="51">
        <f t="shared" si="4"/>
        <v>30</v>
      </c>
      <c r="Q10" s="48" t="str">
        <f t="shared" si="5"/>
        <v>Đạt</v>
      </c>
      <c r="R10" s="51" t="str">
        <f t="shared" si="6"/>
        <v/>
      </c>
      <c r="S10" s="51" t="str">
        <f t="shared" si="7"/>
        <v/>
      </c>
    </row>
    <row r="11" spans="1:19" ht="16" thickBot="1" x14ac:dyDescent="0.25">
      <c r="A11" s="50">
        <f t="shared" si="8"/>
        <v>8</v>
      </c>
      <c r="B11" s="45" t="s">
        <v>116</v>
      </c>
      <c r="C11" s="45" t="s">
        <v>70</v>
      </c>
      <c r="D11" s="45" t="s">
        <v>71</v>
      </c>
      <c r="E11" s="45" t="s">
        <v>62</v>
      </c>
      <c r="F11" s="47">
        <v>1985</v>
      </c>
      <c r="G11" s="45" t="s">
        <v>59</v>
      </c>
      <c r="H11" s="47">
        <v>8</v>
      </c>
      <c r="I11" s="47">
        <v>5</v>
      </c>
      <c r="J11" s="47">
        <v>9</v>
      </c>
      <c r="K11" s="47">
        <v>10</v>
      </c>
      <c r="L11" s="45">
        <f t="shared" si="0"/>
        <v>32</v>
      </c>
      <c r="M11" s="48">
        <f t="shared" si="1"/>
        <v>2</v>
      </c>
      <c r="N11" s="48">
        <f t="shared" si="2"/>
        <v>34</v>
      </c>
      <c r="O11" s="51" t="str">
        <f t="shared" si="3"/>
        <v>Toán</v>
      </c>
      <c r="P11" s="51">
        <f t="shared" si="4"/>
        <v>30</v>
      </c>
      <c r="Q11" s="48" t="str">
        <f t="shared" si="5"/>
        <v>Đạt</v>
      </c>
      <c r="R11" s="51" t="str">
        <f t="shared" si="6"/>
        <v/>
      </c>
      <c r="S11" s="51" t="str">
        <f t="shared" si="7"/>
        <v/>
      </c>
    </row>
    <row r="12" spans="1:19" ht="16" thickBot="1" x14ac:dyDescent="0.25">
      <c r="A12" s="50">
        <f t="shared" si="8"/>
        <v>9</v>
      </c>
      <c r="B12" s="45" t="s">
        <v>112</v>
      </c>
      <c r="C12" s="45" t="s">
        <v>60</v>
      </c>
      <c r="D12" s="45" t="s">
        <v>61</v>
      </c>
      <c r="E12" s="45" t="s">
        <v>62</v>
      </c>
      <c r="F12" s="47">
        <v>1975</v>
      </c>
      <c r="G12" s="45" t="s">
        <v>81</v>
      </c>
      <c r="H12" s="47">
        <v>8</v>
      </c>
      <c r="I12" s="47">
        <v>5</v>
      </c>
      <c r="J12" s="47">
        <v>4</v>
      </c>
      <c r="K12" s="47">
        <v>6</v>
      </c>
      <c r="L12" s="45">
        <f t="shared" si="0"/>
        <v>23</v>
      </c>
      <c r="M12" s="48">
        <f t="shared" si="1"/>
        <v>1.5</v>
      </c>
      <c r="N12" s="48">
        <f t="shared" si="2"/>
        <v>24.5</v>
      </c>
      <c r="O12" s="51" t="str">
        <f t="shared" si="3"/>
        <v>Hóa</v>
      </c>
      <c r="P12" s="51">
        <f t="shared" si="4"/>
        <v>26</v>
      </c>
      <c r="Q12" s="48" t="str">
        <f t="shared" si="5"/>
        <v xml:space="preserve">  </v>
      </c>
      <c r="R12" s="51" t="str">
        <f t="shared" si="6"/>
        <v/>
      </c>
      <c r="S12" s="51" t="str">
        <f t="shared" si="7"/>
        <v/>
      </c>
    </row>
    <row r="13" spans="1:19" ht="16" thickBot="1" x14ac:dyDescent="0.25">
      <c r="A13" s="50">
        <f t="shared" si="8"/>
        <v>10</v>
      </c>
      <c r="B13" s="45" t="s">
        <v>120</v>
      </c>
      <c r="C13" s="45" t="s">
        <v>91</v>
      </c>
      <c r="D13" s="45" t="s">
        <v>87</v>
      </c>
      <c r="E13" s="45"/>
      <c r="F13" s="47">
        <v>1985</v>
      </c>
      <c r="G13" s="45" t="s">
        <v>83</v>
      </c>
      <c r="H13" s="47">
        <v>7</v>
      </c>
      <c r="I13" s="47">
        <v>4</v>
      </c>
      <c r="J13" s="47">
        <v>7</v>
      </c>
      <c r="K13" s="47">
        <v>7</v>
      </c>
      <c r="L13" s="45">
        <f t="shared" si="0"/>
        <v>25</v>
      </c>
      <c r="M13" s="48">
        <f t="shared" si="1"/>
        <v>2</v>
      </c>
      <c r="N13" s="48">
        <f t="shared" si="2"/>
        <v>27</v>
      </c>
      <c r="O13" s="51" t="str">
        <f t="shared" si="3"/>
        <v>Hóa</v>
      </c>
      <c r="P13" s="51">
        <f t="shared" si="4"/>
        <v>26</v>
      </c>
      <c r="Q13" s="48" t="str">
        <f t="shared" si="5"/>
        <v>Đạt</v>
      </c>
      <c r="R13" s="51" t="str">
        <f t="shared" si="6"/>
        <v/>
      </c>
      <c r="S13" s="51" t="str">
        <f t="shared" si="7"/>
        <v/>
      </c>
    </row>
    <row r="14" spans="1:19" ht="16" thickBot="1" x14ac:dyDescent="0.25">
      <c r="A14" s="50">
        <f t="shared" si="8"/>
        <v>11</v>
      </c>
      <c r="B14" s="45" t="s">
        <v>106</v>
      </c>
      <c r="C14" s="45" t="s">
        <v>86</v>
      </c>
      <c r="D14" s="45" t="s">
        <v>87</v>
      </c>
      <c r="E14" s="45"/>
      <c r="F14" s="47">
        <v>1975</v>
      </c>
      <c r="G14" s="45" t="s">
        <v>66</v>
      </c>
      <c r="H14" s="47">
        <v>4</v>
      </c>
      <c r="I14" s="47">
        <v>4</v>
      </c>
      <c r="J14" s="47">
        <v>5</v>
      </c>
      <c r="K14" s="47">
        <v>5</v>
      </c>
      <c r="L14" s="45">
        <f t="shared" si="0"/>
        <v>18</v>
      </c>
      <c r="M14" s="48">
        <f t="shared" si="1"/>
        <v>2</v>
      </c>
      <c r="N14" s="48">
        <f t="shared" si="2"/>
        <v>20</v>
      </c>
      <c r="O14" s="51" t="str">
        <f t="shared" si="3"/>
        <v>Hóa</v>
      </c>
      <c r="P14" s="51">
        <f t="shared" si="4"/>
        <v>26</v>
      </c>
      <c r="Q14" s="48" t="str">
        <f t="shared" si="5"/>
        <v xml:space="preserve">  </v>
      </c>
      <c r="R14" s="51" t="str">
        <f t="shared" si="6"/>
        <v/>
      </c>
      <c r="S14" s="51" t="str">
        <f t="shared" si="7"/>
        <v/>
      </c>
    </row>
    <row r="15" spans="1:19" ht="16" thickBot="1" x14ac:dyDescent="0.25">
      <c r="A15" s="50">
        <f t="shared" si="8"/>
        <v>12</v>
      </c>
      <c r="B15" s="45" t="s">
        <v>123</v>
      </c>
      <c r="C15" s="45" t="s">
        <v>96</v>
      </c>
      <c r="D15" s="45" t="s">
        <v>97</v>
      </c>
      <c r="E15" s="45" t="s">
        <v>62</v>
      </c>
      <c r="F15" s="47">
        <v>1984</v>
      </c>
      <c r="G15" s="45" t="s">
        <v>103</v>
      </c>
      <c r="H15" s="47">
        <v>5</v>
      </c>
      <c r="I15" s="47">
        <v>8</v>
      </c>
      <c r="J15" s="47">
        <v>9</v>
      </c>
      <c r="K15" s="47">
        <v>7</v>
      </c>
      <c r="L15" s="45">
        <f t="shared" si="0"/>
        <v>29</v>
      </c>
      <c r="M15" s="48">
        <f t="shared" si="1"/>
        <v>2</v>
      </c>
      <c r="N15" s="48">
        <f t="shared" si="2"/>
        <v>31</v>
      </c>
      <c r="O15" s="51" t="str">
        <f t="shared" si="3"/>
        <v>Toán</v>
      </c>
      <c r="P15" s="51">
        <f t="shared" si="4"/>
        <v>30</v>
      </c>
      <c r="Q15" s="48" t="str">
        <f>IF(N15 &gt;= P15,"Đạt")</f>
        <v>Đạt</v>
      </c>
      <c r="R15" s="51" t="str">
        <f t="shared" si="6"/>
        <v/>
      </c>
      <c r="S15" s="51" t="str">
        <f t="shared" si="7"/>
        <v/>
      </c>
    </row>
    <row r="16" spans="1:19" ht="16" thickBot="1" x14ac:dyDescent="0.25">
      <c r="A16" s="50">
        <f t="shared" si="8"/>
        <v>13</v>
      </c>
      <c r="B16" s="45" t="s">
        <v>108</v>
      </c>
      <c r="C16" s="45" t="s">
        <v>89</v>
      </c>
      <c r="D16" s="45" t="s">
        <v>90</v>
      </c>
      <c r="E16" s="45"/>
      <c r="F16" s="47">
        <v>1972</v>
      </c>
      <c r="G16" s="45" t="s">
        <v>72</v>
      </c>
      <c r="H16" s="47">
        <v>5</v>
      </c>
      <c r="I16" s="47">
        <v>8</v>
      </c>
      <c r="J16" s="47">
        <v>1</v>
      </c>
      <c r="K16" s="47">
        <v>9</v>
      </c>
      <c r="L16" s="45">
        <f t="shared" si="0"/>
        <v>23</v>
      </c>
      <c r="M16" s="48">
        <f t="shared" si="1"/>
        <v>2</v>
      </c>
      <c r="N16" s="48">
        <f t="shared" si="2"/>
        <v>25</v>
      </c>
      <c r="O16" s="51" t="str">
        <f t="shared" si="3"/>
        <v>Lý</v>
      </c>
      <c r="P16" s="51">
        <f t="shared" si="4"/>
        <v>28</v>
      </c>
      <c r="Q16" s="48" t="str">
        <f t="shared" ref="Q16:Q23" si="9">IF(N16 &gt;= P16,"Đạt","  ")</f>
        <v xml:space="preserve">  </v>
      </c>
      <c r="R16" s="51" t="str">
        <f t="shared" si="6"/>
        <v/>
      </c>
      <c r="S16" s="51" t="str">
        <f t="shared" si="7"/>
        <v/>
      </c>
    </row>
    <row r="17" spans="1:19" ht="16" thickBot="1" x14ac:dyDescent="0.25">
      <c r="A17" s="50">
        <f t="shared" si="8"/>
        <v>14</v>
      </c>
      <c r="B17" s="45" t="s">
        <v>119</v>
      </c>
      <c r="C17" s="45" t="s">
        <v>64</v>
      </c>
      <c r="D17" s="45" t="s">
        <v>65</v>
      </c>
      <c r="E17" s="45"/>
      <c r="F17" s="47">
        <v>1986</v>
      </c>
      <c r="G17" s="45" t="s">
        <v>81</v>
      </c>
      <c r="H17" s="47">
        <v>6</v>
      </c>
      <c r="I17" s="47">
        <v>4</v>
      </c>
      <c r="J17" s="47">
        <v>5</v>
      </c>
      <c r="K17" s="47">
        <v>7</v>
      </c>
      <c r="L17" s="45">
        <f t="shared" si="0"/>
        <v>22</v>
      </c>
      <c r="M17" s="48">
        <f t="shared" si="1"/>
        <v>1</v>
      </c>
      <c r="N17" s="48">
        <f t="shared" si="2"/>
        <v>23</v>
      </c>
      <c r="O17" s="51" t="str">
        <f t="shared" si="3"/>
        <v>Lý</v>
      </c>
      <c r="P17" s="51">
        <f t="shared" si="4"/>
        <v>28</v>
      </c>
      <c r="Q17" s="48" t="str">
        <f t="shared" si="9"/>
        <v xml:space="preserve">  </v>
      </c>
      <c r="R17" s="51" t="str">
        <f t="shared" si="6"/>
        <v/>
      </c>
      <c r="S17" s="51" t="str">
        <f t="shared" si="7"/>
        <v/>
      </c>
    </row>
    <row r="18" spans="1:19" ht="16" thickBot="1" x14ac:dyDescent="0.25">
      <c r="A18" s="50">
        <f t="shared" si="8"/>
        <v>15</v>
      </c>
      <c r="B18" s="45" t="s">
        <v>109</v>
      </c>
      <c r="C18" s="45" t="s">
        <v>84</v>
      </c>
      <c r="D18" s="45" t="s">
        <v>85</v>
      </c>
      <c r="E18" s="45"/>
      <c r="F18" s="47">
        <v>1980</v>
      </c>
      <c r="G18" s="45" t="s">
        <v>59</v>
      </c>
      <c r="H18" s="47">
        <v>8</v>
      </c>
      <c r="I18" s="47">
        <v>5</v>
      </c>
      <c r="J18" s="47">
        <v>2</v>
      </c>
      <c r="K18" s="47">
        <v>5</v>
      </c>
      <c r="L18" s="45">
        <f t="shared" si="0"/>
        <v>20</v>
      </c>
      <c r="M18" s="48">
        <f t="shared" si="1"/>
        <v>2</v>
      </c>
      <c r="N18" s="48">
        <f t="shared" si="2"/>
        <v>22</v>
      </c>
      <c r="O18" s="51" t="str">
        <f t="shared" si="3"/>
        <v>Hóa</v>
      </c>
      <c r="P18" s="51">
        <f t="shared" si="4"/>
        <v>26</v>
      </c>
      <c r="Q18" s="48" t="str">
        <f t="shared" si="9"/>
        <v xml:space="preserve">  </v>
      </c>
      <c r="R18" s="51" t="str">
        <f t="shared" si="6"/>
        <v/>
      </c>
      <c r="S18" s="51" t="str">
        <f t="shared" si="7"/>
        <v/>
      </c>
    </row>
    <row r="19" spans="1:19" ht="16" thickBot="1" x14ac:dyDescent="0.25">
      <c r="A19" s="50">
        <f t="shared" si="8"/>
        <v>16</v>
      </c>
      <c r="B19" s="45" t="s">
        <v>113</v>
      </c>
      <c r="C19" s="45" t="s">
        <v>92</v>
      </c>
      <c r="D19" s="45" t="s">
        <v>85</v>
      </c>
      <c r="E19" s="45"/>
      <c r="F19" s="47">
        <v>1970</v>
      </c>
      <c r="G19" s="45" t="s">
        <v>83</v>
      </c>
      <c r="H19" s="47">
        <v>8</v>
      </c>
      <c r="I19" s="47">
        <v>8</v>
      </c>
      <c r="J19" s="47">
        <v>6</v>
      </c>
      <c r="K19" s="47">
        <v>6</v>
      </c>
      <c r="L19" s="45">
        <f t="shared" si="0"/>
        <v>28</v>
      </c>
      <c r="M19" s="48">
        <f t="shared" si="1"/>
        <v>1</v>
      </c>
      <c r="N19" s="48">
        <f t="shared" si="2"/>
        <v>29</v>
      </c>
      <c r="O19" s="51" t="str">
        <f t="shared" si="3"/>
        <v>Sinh</v>
      </c>
      <c r="P19" s="51">
        <f t="shared" si="4"/>
        <v>24</v>
      </c>
      <c r="Q19" s="48" t="str">
        <f t="shared" si="9"/>
        <v>Đạt</v>
      </c>
      <c r="R19" s="51" t="str">
        <f t="shared" si="6"/>
        <v/>
      </c>
      <c r="S19" s="51" t="str">
        <f t="shared" si="7"/>
        <v/>
      </c>
    </row>
    <row r="20" spans="1:19" ht="16" thickBot="1" x14ac:dyDescent="0.25">
      <c r="A20" s="50">
        <f t="shared" si="8"/>
        <v>17</v>
      </c>
      <c r="B20" s="45" t="s">
        <v>107</v>
      </c>
      <c r="C20" s="45" t="s">
        <v>79</v>
      </c>
      <c r="D20" s="45" t="s">
        <v>80</v>
      </c>
      <c r="E20" s="45" t="s">
        <v>62</v>
      </c>
      <c r="F20" s="47">
        <v>1969</v>
      </c>
      <c r="G20" s="45" t="s">
        <v>69</v>
      </c>
      <c r="H20" s="47">
        <v>6</v>
      </c>
      <c r="I20" s="47">
        <v>3</v>
      </c>
      <c r="J20" s="47">
        <v>3</v>
      </c>
      <c r="K20" s="47">
        <v>7</v>
      </c>
      <c r="L20" s="45">
        <f t="shared" si="0"/>
        <v>19</v>
      </c>
      <c r="M20" s="48">
        <f t="shared" si="1"/>
        <v>1</v>
      </c>
      <c r="N20" s="48">
        <f t="shared" si="2"/>
        <v>20</v>
      </c>
      <c r="O20" s="51" t="str">
        <f t="shared" si="3"/>
        <v>Lý</v>
      </c>
      <c r="P20" s="51">
        <f t="shared" si="4"/>
        <v>28</v>
      </c>
      <c r="Q20" s="48" t="str">
        <f t="shared" si="9"/>
        <v xml:space="preserve">  </v>
      </c>
      <c r="R20" s="51" t="str">
        <f t="shared" si="6"/>
        <v/>
      </c>
      <c r="S20" s="51" t="str">
        <f t="shared" si="7"/>
        <v/>
      </c>
    </row>
    <row r="21" spans="1:19" ht="16" thickBot="1" x14ac:dyDescent="0.25">
      <c r="A21" s="50">
        <f t="shared" si="8"/>
        <v>18</v>
      </c>
      <c r="B21" s="45" t="s">
        <v>104</v>
      </c>
      <c r="C21" s="45" t="s">
        <v>57</v>
      </c>
      <c r="D21" s="45" t="s">
        <v>58</v>
      </c>
      <c r="E21" s="45"/>
      <c r="F21" s="47">
        <v>1973</v>
      </c>
      <c r="G21" s="45" t="s">
        <v>59</v>
      </c>
      <c r="H21" s="47">
        <v>5</v>
      </c>
      <c r="I21" s="47">
        <v>3</v>
      </c>
      <c r="J21" s="47">
        <v>4</v>
      </c>
      <c r="K21" s="47">
        <v>8</v>
      </c>
      <c r="L21" s="45">
        <f t="shared" si="0"/>
        <v>20</v>
      </c>
      <c r="M21" s="48">
        <f t="shared" si="1"/>
        <v>2</v>
      </c>
      <c r="N21" s="48">
        <f t="shared" si="2"/>
        <v>22</v>
      </c>
      <c r="O21" s="51" t="str">
        <f t="shared" si="3"/>
        <v>Toán</v>
      </c>
      <c r="P21" s="51">
        <f t="shared" si="4"/>
        <v>30</v>
      </c>
      <c r="Q21" s="48" t="str">
        <f t="shared" si="9"/>
        <v xml:space="preserve">  </v>
      </c>
      <c r="R21" s="51" t="str">
        <f t="shared" si="6"/>
        <v/>
      </c>
      <c r="S21" s="51" t="str">
        <f t="shared" si="7"/>
        <v/>
      </c>
    </row>
    <row r="22" spans="1:19" ht="16" thickBot="1" x14ac:dyDescent="0.25">
      <c r="A22" s="50">
        <f t="shared" si="8"/>
        <v>19</v>
      </c>
      <c r="B22" s="45" t="s">
        <v>117</v>
      </c>
      <c r="C22" s="45" t="s">
        <v>77</v>
      </c>
      <c r="D22" s="45" t="s">
        <v>58</v>
      </c>
      <c r="E22" s="45"/>
      <c r="F22" s="47">
        <v>1984</v>
      </c>
      <c r="G22" s="45" t="s">
        <v>63</v>
      </c>
      <c r="H22" s="47">
        <v>7</v>
      </c>
      <c r="I22" s="47">
        <v>9</v>
      </c>
      <c r="J22" s="47">
        <v>8</v>
      </c>
      <c r="K22" s="47">
        <v>10</v>
      </c>
      <c r="L22" s="45">
        <f t="shared" si="0"/>
        <v>34</v>
      </c>
      <c r="M22" s="48">
        <f t="shared" si="1"/>
        <v>1.5</v>
      </c>
      <c r="N22" s="48">
        <f t="shared" si="2"/>
        <v>35.5</v>
      </c>
      <c r="O22" s="51" t="str">
        <f t="shared" si="3"/>
        <v>Lý</v>
      </c>
      <c r="P22" s="51">
        <f t="shared" si="4"/>
        <v>28</v>
      </c>
      <c r="Q22" s="48" t="str">
        <f t="shared" si="9"/>
        <v>Đạt</v>
      </c>
      <c r="R22" s="51" t="str">
        <f t="shared" si="6"/>
        <v/>
      </c>
      <c r="S22" s="51" t="str">
        <f t="shared" si="7"/>
        <v/>
      </c>
    </row>
    <row r="23" spans="1:19" ht="16" thickBot="1" x14ac:dyDescent="0.25">
      <c r="A23" s="50">
        <f t="shared" si="8"/>
        <v>20</v>
      </c>
      <c r="B23" s="45" t="s">
        <v>115</v>
      </c>
      <c r="C23" s="45" t="s">
        <v>98</v>
      </c>
      <c r="D23" s="45" t="s">
        <v>99</v>
      </c>
      <c r="E23" s="45" t="s">
        <v>62</v>
      </c>
      <c r="F23" s="47">
        <v>1982</v>
      </c>
      <c r="G23" s="45" t="s">
        <v>88</v>
      </c>
      <c r="H23" s="47">
        <v>6</v>
      </c>
      <c r="I23" s="47">
        <v>9</v>
      </c>
      <c r="J23" s="47">
        <v>10</v>
      </c>
      <c r="K23" s="47">
        <v>8</v>
      </c>
      <c r="L23" s="45">
        <f t="shared" si="0"/>
        <v>33</v>
      </c>
      <c r="M23" s="48">
        <f t="shared" si="1"/>
        <v>1.5</v>
      </c>
      <c r="N23" s="48">
        <f t="shared" si="2"/>
        <v>34.5</v>
      </c>
      <c r="O23" s="51" t="str">
        <f t="shared" si="3"/>
        <v>Lý</v>
      </c>
      <c r="P23" s="51">
        <f t="shared" si="4"/>
        <v>28</v>
      </c>
      <c r="Q23" s="48" t="str">
        <f t="shared" si="9"/>
        <v>Đạt</v>
      </c>
      <c r="R23" s="51" t="str">
        <f t="shared" si="6"/>
        <v/>
      </c>
      <c r="S23" s="51" t="str">
        <f t="shared" si="7"/>
        <v/>
      </c>
    </row>
    <row r="25" spans="1:19" ht="16" thickBot="1" x14ac:dyDescent="0.25"/>
    <row r="26" spans="1:19" ht="16" thickBot="1" x14ac:dyDescent="0.25">
      <c r="B26" s="73" t="s">
        <v>47</v>
      </c>
      <c r="C26" s="73" t="s">
        <v>46</v>
      </c>
      <c r="D26" s="73" t="s">
        <v>48</v>
      </c>
      <c r="E26" s="73" t="s">
        <v>49</v>
      </c>
      <c r="F26" s="73" t="s">
        <v>50</v>
      </c>
      <c r="G26" s="73" t="s">
        <v>51</v>
      </c>
      <c r="H26" s="73" t="s">
        <v>52</v>
      </c>
      <c r="I26" s="73" t="s">
        <v>124</v>
      </c>
      <c r="J26" s="73" t="s">
        <v>53</v>
      </c>
      <c r="K26" s="73" t="s">
        <v>54</v>
      </c>
      <c r="L26" s="73" t="s">
        <v>55</v>
      </c>
      <c r="M26" s="73" t="s">
        <v>56</v>
      </c>
      <c r="N26" s="73" t="s">
        <v>125</v>
      </c>
      <c r="O26" s="73" t="s">
        <v>126</v>
      </c>
      <c r="P26" s="73" t="s">
        <v>127</v>
      </c>
      <c r="Q26" s="74" t="s">
        <v>128</v>
      </c>
      <c r="R26" s="73" t="s">
        <v>129</v>
      </c>
      <c r="S26" s="73" t="s">
        <v>130</v>
      </c>
    </row>
    <row r="27" spans="1:19" ht="16" hidden="1" thickBot="1" x14ac:dyDescent="0.25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  <c r="R27" s="73"/>
      <c r="S27" s="73"/>
    </row>
    <row r="28" spans="1:19" ht="16" thickBot="1" x14ac:dyDescent="0.25">
      <c r="B28" s="45" t="s">
        <v>111</v>
      </c>
      <c r="C28" s="45" t="s">
        <v>75</v>
      </c>
      <c r="D28" s="45" t="s">
        <v>76</v>
      </c>
      <c r="E28" s="45"/>
      <c r="F28" s="47">
        <v>1973</v>
      </c>
      <c r="G28" s="45" t="s">
        <v>78</v>
      </c>
      <c r="H28" s="47">
        <v>10</v>
      </c>
      <c r="I28" s="47">
        <v>9</v>
      </c>
      <c r="J28" s="47">
        <v>7</v>
      </c>
      <c r="K28" s="47">
        <v>4</v>
      </c>
      <c r="L28" s="45">
        <f t="shared" ref="L28:L47" si="10">SUM(H28:K28)</f>
        <v>30</v>
      </c>
      <c r="M28" s="48">
        <f t="shared" ref="M28:M47" si="11">IF(RIGHT(B28,1) ="1",2, IF(RIGHT(B28,1)="2",1.5,1))</f>
        <v>1</v>
      </c>
      <c r="N28" s="48">
        <f t="shared" ref="N28:N47" si="12">SUM(L28:M28)</f>
        <v>31</v>
      </c>
      <c r="O28" s="51" t="str">
        <f t="shared" ref="O28:O47" si="13">IF(LEFT(B28,1)="A","Toán",IF(LEFT(B28,1)="B","Lý",IF(LEFT(B28,1)="C","Hóa","Sinh")))</f>
        <v>Toán</v>
      </c>
      <c r="P28" s="51">
        <f t="shared" ref="P28:P47" si="14">IF(O28 ="Toán",30,IF(O28="Lý",28,IF(O28="Hóa",26,24)))</f>
        <v>30</v>
      </c>
      <c r="Q28" s="48" t="str">
        <f>IF(N28 &gt;= P28,"Đạt","  ")</f>
        <v>Đạt</v>
      </c>
      <c r="R28" s="51" t="str">
        <f t="shared" ref="R28:R47" si="15">IF(AND(H28&gt;=9, OR(K28&gt;=8,J28&gt;=8)),"x","")</f>
        <v/>
      </c>
      <c r="S28" s="51" t="str">
        <f t="shared" ref="S28:S47" si="16">IF(AND(H28&gt;=9, OR(K28&gt;=8,I28&gt;=8)),"x","")</f>
        <v>x</v>
      </c>
    </row>
    <row r="29" spans="1:19" ht="16" thickBot="1" x14ac:dyDescent="0.25">
      <c r="B29" s="45" t="s">
        <v>105</v>
      </c>
      <c r="C29" s="45" t="s">
        <v>102</v>
      </c>
      <c r="D29" s="45" t="s">
        <v>68</v>
      </c>
      <c r="E29" s="45" t="s">
        <v>62</v>
      </c>
      <c r="F29" s="47">
        <v>1974</v>
      </c>
      <c r="G29" s="45" t="s">
        <v>63</v>
      </c>
      <c r="H29" s="47">
        <v>6</v>
      </c>
      <c r="I29" s="47">
        <v>8</v>
      </c>
      <c r="J29" s="47">
        <v>5</v>
      </c>
      <c r="K29" s="47">
        <v>10</v>
      </c>
      <c r="L29" s="45">
        <f t="shared" si="10"/>
        <v>29</v>
      </c>
      <c r="M29" s="48">
        <f t="shared" si="11"/>
        <v>1.5</v>
      </c>
      <c r="N29" s="48">
        <f t="shared" si="12"/>
        <v>30.5</v>
      </c>
      <c r="O29" s="51" t="str">
        <f t="shared" si="13"/>
        <v>Lý</v>
      </c>
      <c r="P29" s="51">
        <f t="shared" si="14"/>
        <v>28</v>
      </c>
      <c r="Q29" s="48" t="str">
        <f t="shared" ref="Q29:Q31" si="17">IF(N29 &gt;= P29,"Đạt","  ")</f>
        <v>Đạt</v>
      </c>
      <c r="R29" s="51" t="str">
        <f t="shared" si="15"/>
        <v/>
      </c>
      <c r="S29" s="51" t="str">
        <f t="shared" si="16"/>
        <v/>
      </c>
    </row>
    <row r="30" spans="1:19" ht="16" thickBot="1" x14ac:dyDescent="0.25">
      <c r="B30" s="45" t="s">
        <v>114</v>
      </c>
      <c r="C30" s="45" t="s">
        <v>67</v>
      </c>
      <c r="D30" s="45" t="s">
        <v>68</v>
      </c>
      <c r="E30" s="45" t="s">
        <v>62</v>
      </c>
      <c r="F30" s="47">
        <v>1986</v>
      </c>
      <c r="G30" s="45" t="s">
        <v>72</v>
      </c>
      <c r="H30" s="47">
        <v>7</v>
      </c>
      <c r="I30" s="47">
        <v>5</v>
      </c>
      <c r="J30" s="47">
        <v>8</v>
      </c>
      <c r="K30" s="47">
        <v>8</v>
      </c>
      <c r="L30" s="45">
        <f t="shared" si="10"/>
        <v>28</v>
      </c>
      <c r="M30" s="48">
        <f t="shared" si="11"/>
        <v>2</v>
      </c>
      <c r="N30" s="48">
        <f t="shared" si="12"/>
        <v>30</v>
      </c>
      <c r="O30" s="51" t="str">
        <f t="shared" si="13"/>
        <v>Hóa</v>
      </c>
      <c r="P30" s="51">
        <f t="shared" si="14"/>
        <v>26</v>
      </c>
      <c r="Q30" s="48" t="str">
        <f t="shared" si="17"/>
        <v>Đạt</v>
      </c>
      <c r="R30" s="51" t="str">
        <f t="shared" si="15"/>
        <v/>
      </c>
      <c r="S30" s="51" t="str">
        <f t="shared" si="16"/>
        <v/>
      </c>
    </row>
    <row r="31" spans="1:19" ht="16" thickBot="1" x14ac:dyDescent="0.25">
      <c r="B31" s="45" t="s">
        <v>110</v>
      </c>
      <c r="C31" s="45" t="s">
        <v>100</v>
      </c>
      <c r="D31" s="45" t="s">
        <v>101</v>
      </c>
      <c r="E31" s="45" t="s">
        <v>62</v>
      </c>
      <c r="F31" s="47">
        <v>1977</v>
      </c>
      <c r="G31" s="45" t="s">
        <v>63</v>
      </c>
      <c r="H31" s="47">
        <v>9</v>
      </c>
      <c r="I31" s="47">
        <v>10</v>
      </c>
      <c r="J31" s="47">
        <v>9</v>
      </c>
      <c r="K31" s="47">
        <v>9</v>
      </c>
      <c r="L31" s="45">
        <f t="shared" si="10"/>
        <v>37</v>
      </c>
      <c r="M31" s="48">
        <f t="shared" si="11"/>
        <v>1.5</v>
      </c>
      <c r="N31" s="48">
        <f t="shared" si="12"/>
        <v>38.5</v>
      </c>
      <c r="O31" s="51" t="str">
        <f t="shared" si="13"/>
        <v>Sinh</v>
      </c>
      <c r="P31" s="51">
        <f t="shared" si="14"/>
        <v>24</v>
      </c>
      <c r="Q31" s="48" t="str">
        <f t="shared" si="17"/>
        <v>Đạt</v>
      </c>
      <c r="R31" s="51" t="str">
        <f t="shared" si="15"/>
        <v>x</v>
      </c>
      <c r="S31" s="51" t="str">
        <f t="shared" si="16"/>
        <v>x</v>
      </c>
    </row>
    <row r="32" spans="1:19" ht="16" hidden="1" thickBot="1" x14ac:dyDescent="0.25">
      <c r="B32" s="45" t="s">
        <v>122</v>
      </c>
      <c r="C32" s="45" t="s">
        <v>73</v>
      </c>
      <c r="D32" s="45" t="s">
        <v>74</v>
      </c>
      <c r="E32" s="45"/>
      <c r="F32" s="47">
        <v>1985</v>
      </c>
      <c r="G32" s="45" t="s">
        <v>69</v>
      </c>
      <c r="H32" s="47">
        <v>8</v>
      </c>
      <c r="I32" s="47">
        <v>3</v>
      </c>
      <c r="J32" s="47">
        <v>5</v>
      </c>
      <c r="K32" s="47">
        <v>6</v>
      </c>
      <c r="L32" s="45">
        <f t="shared" si="10"/>
        <v>22</v>
      </c>
      <c r="M32" s="48">
        <f t="shared" si="11"/>
        <v>1.5</v>
      </c>
      <c r="N32" s="48">
        <f t="shared" si="12"/>
        <v>23.5</v>
      </c>
      <c r="O32" s="51" t="str">
        <f t="shared" si="13"/>
        <v>Toán</v>
      </c>
      <c r="P32" s="51">
        <f t="shared" si="14"/>
        <v>30</v>
      </c>
      <c r="Q32" s="48" t="str">
        <f>IF(N32 &gt;= P32,"Đạt","  ")</f>
        <v xml:space="preserve">  </v>
      </c>
      <c r="R32" s="51" t="str">
        <f t="shared" si="15"/>
        <v/>
      </c>
      <c r="S32" s="51" t="str">
        <f t="shared" si="16"/>
        <v/>
      </c>
    </row>
    <row r="33" spans="2:19" ht="16" thickBot="1" x14ac:dyDescent="0.25">
      <c r="B33" s="45" t="s">
        <v>118</v>
      </c>
      <c r="C33" s="45" t="s">
        <v>82</v>
      </c>
      <c r="D33" s="45" t="s">
        <v>74</v>
      </c>
      <c r="E33" s="45" t="s">
        <v>62</v>
      </c>
      <c r="F33" s="47">
        <v>1982</v>
      </c>
      <c r="G33" s="45" t="s">
        <v>93</v>
      </c>
      <c r="H33" s="47">
        <v>8</v>
      </c>
      <c r="I33" s="47">
        <v>8</v>
      </c>
      <c r="J33" s="47">
        <v>10</v>
      </c>
      <c r="K33" s="47">
        <v>7</v>
      </c>
      <c r="L33" s="45">
        <f t="shared" si="10"/>
        <v>33</v>
      </c>
      <c r="M33" s="48">
        <f t="shared" si="11"/>
        <v>1</v>
      </c>
      <c r="N33" s="48">
        <f t="shared" si="12"/>
        <v>34</v>
      </c>
      <c r="O33" s="51" t="str">
        <f t="shared" si="13"/>
        <v>Sinh</v>
      </c>
      <c r="P33" s="51">
        <f t="shared" si="14"/>
        <v>24</v>
      </c>
      <c r="Q33" s="48" t="str">
        <f t="shared" ref="Q33:Q35" si="18">IF(N33 &gt;= P33,"Đạt","  ")</f>
        <v>Đạt</v>
      </c>
      <c r="R33" s="51" t="str">
        <f t="shared" si="15"/>
        <v/>
      </c>
      <c r="S33" s="51" t="str">
        <f t="shared" si="16"/>
        <v/>
      </c>
    </row>
    <row r="34" spans="2:19" ht="16" thickBot="1" x14ac:dyDescent="0.25">
      <c r="B34" s="45" t="s">
        <v>121</v>
      </c>
      <c r="C34" s="45" t="s">
        <v>94</v>
      </c>
      <c r="D34" s="45" t="s">
        <v>95</v>
      </c>
      <c r="E34" s="45"/>
      <c r="F34" s="47">
        <v>1986</v>
      </c>
      <c r="G34" s="45" t="s">
        <v>72</v>
      </c>
      <c r="H34" s="47">
        <v>6</v>
      </c>
      <c r="I34" s="47">
        <v>10</v>
      </c>
      <c r="J34" s="47">
        <v>9</v>
      </c>
      <c r="K34" s="47">
        <v>8</v>
      </c>
      <c r="L34" s="45">
        <f t="shared" si="10"/>
        <v>33</v>
      </c>
      <c r="M34" s="48">
        <f t="shared" si="11"/>
        <v>1.5</v>
      </c>
      <c r="N34" s="48">
        <f t="shared" si="12"/>
        <v>34.5</v>
      </c>
      <c r="O34" s="51" t="str">
        <f t="shared" si="13"/>
        <v>Toán</v>
      </c>
      <c r="P34" s="51">
        <f t="shared" si="14"/>
        <v>30</v>
      </c>
      <c r="Q34" s="48" t="str">
        <f t="shared" si="18"/>
        <v>Đạt</v>
      </c>
      <c r="R34" s="51" t="str">
        <f t="shared" si="15"/>
        <v/>
      </c>
      <c r="S34" s="51" t="str">
        <f t="shared" si="16"/>
        <v/>
      </c>
    </row>
    <row r="35" spans="2:19" ht="16" thickBot="1" x14ac:dyDescent="0.25">
      <c r="B35" s="45" t="s">
        <v>116</v>
      </c>
      <c r="C35" s="45" t="s">
        <v>70</v>
      </c>
      <c r="D35" s="45" t="s">
        <v>71</v>
      </c>
      <c r="E35" s="45" t="s">
        <v>62</v>
      </c>
      <c r="F35" s="47">
        <v>1985</v>
      </c>
      <c r="G35" s="45" t="s">
        <v>59</v>
      </c>
      <c r="H35" s="47">
        <v>8</v>
      </c>
      <c r="I35" s="47">
        <v>5</v>
      </c>
      <c r="J35" s="47">
        <v>9</v>
      </c>
      <c r="K35" s="47">
        <v>10</v>
      </c>
      <c r="L35" s="45">
        <f t="shared" si="10"/>
        <v>32</v>
      </c>
      <c r="M35" s="48">
        <f t="shared" si="11"/>
        <v>2</v>
      </c>
      <c r="N35" s="48">
        <f t="shared" si="12"/>
        <v>34</v>
      </c>
      <c r="O35" s="51" t="str">
        <f t="shared" si="13"/>
        <v>Toán</v>
      </c>
      <c r="P35" s="51">
        <f t="shared" si="14"/>
        <v>30</v>
      </c>
      <c r="Q35" s="48" t="str">
        <f t="shared" si="18"/>
        <v>Đạt</v>
      </c>
      <c r="R35" s="51" t="str">
        <f t="shared" si="15"/>
        <v/>
      </c>
      <c r="S35" s="51" t="str">
        <f t="shared" si="16"/>
        <v/>
      </c>
    </row>
    <row r="36" spans="2:19" ht="16" hidden="1" thickBot="1" x14ac:dyDescent="0.25">
      <c r="B36" s="45" t="s">
        <v>112</v>
      </c>
      <c r="C36" s="45" t="s">
        <v>60</v>
      </c>
      <c r="D36" s="45" t="s">
        <v>61</v>
      </c>
      <c r="E36" s="45" t="s">
        <v>62</v>
      </c>
      <c r="F36" s="47">
        <v>1975</v>
      </c>
      <c r="G36" s="45" t="s">
        <v>81</v>
      </c>
      <c r="H36" s="47">
        <v>8</v>
      </c>
      <c r="I36" s="47">
        <v>5</v>
      </c>
      <c r="J36" s="47">
        <v>4</v>
      </c>
      <c r="K36" s="47">
        <v>6</v>
      </c>
      <c r="L36" s="45">
        <f t="shared" si="10"/>
        <v>23</v>
      </c>
      <c r="M36" s="48">
        <f t="shared" si="11"/>
        <v>1.5</v>
      </c>
      <c r="N36" s="48">
        <f t="shared" si="12"/>
        <v>24.5</v>
      </c>
      <c r="O36" s="51" t="str">
        <f t="shared" si="13"/>
        <v>Hóa</v>
      </c>
      <c r="P36" s="51">
        <f t="shared" si="14"/>
        <v>26</v>
      </c>
      <c r="Q36" s="48" t="str">
        <f t="shared" ref="Q36:Q45" si="19">IF(N36 &gt;= P36,"Đạt","  ")</f>
        <v xml:space="preserve">  </v>
      </c>
      <c r="R36" s="51" t="str">
        <f t="shared" si="15"/>
        <v/>
      </c>
      <c r="S36" s="51" t="str">
        <f t="shared" si="16"/>
        <v/>
      </c>
    </row>
    <row r="37" spans="2:19" ht="16" thickBot="1" x14ac:dyDescent="0.25">
      <c r="B37" s="45" t="s">
        <v>120</v>
      </c>
      <c r="C37" s="45" t="s">
        <v>91</v>
      </c>
      <c r="D37" s="45" t="s">
        <v>87</v>
      </c>
      <c r="E37" s="45"/>
      <c r="F37" s="47">
        <v>1985</v>
      </c>
      <c r="G37" s="45" t="s">
        <v>83</v>
      </c>
      <c r="H37" s="47">
        <v>7</v>
      </c>
      <c r="I37" s="47">
        <v>4</v>
      </c>
      <c r="J37" s="47">
        <v>7</v>
      </c>
      <c r="K37" s="47">
        <v>7</v>
      </c>
      <c r="L37" s="45">
        <f t="shared" si="10"/>
        <v>25</v>
      </c>
      <c r="M37" s="48">
        <f t="shared" si="11"/>
        <v>2</v>
      </c>
      <c r="N37" s="48">
        <f t="shared" si="12"/>
        <v>27</v>
      </c>
      <c r="O37" s="51" t="str">
        <f t="shared" si="13"/>
        <v>Hóa</v>
      </c>
      <c r="P37" s="51">
        <f t="shared" si="14"/>
        <v>26</v>
      </c>
      <c r="Q37" s="48" t="str">
        <f t="shared" si="19"/>
        <v>Đạt</v>
      </c>
      <c r="R37" s="51" t="str">
        <f t="shared" si="15"/>
        <v/>
      </c>
      <c r="S37" s="51" t="str">
        <f t="shared" si="16"/>
        <v/>
      </c>
    </row>
    <row r="38" spans="2:19" ht="16" hidden="1" thickBot="1" x14ac:dyDescent="0.25">
      <c r="B38" s="45" t="s">
        <v>106</v>
      </c>
      <c r="C38" s="45" t="s">
        <v>86</v>
      </c>
      <c r="D38" s="45" t="s">
        <v>87</v>
      </c>
      <c r="E38" s="45"/>
      <c r="F38" s="47">
        <v>1975</v>
      </c>
      <c r="G38" s="45" t="s">
        <v>66</v>
      </c>
      <c r="H38" s="47">
        <v>4</v>
      </c>
      <c r="I38" s="47">
        <v>4</v>
      </c>
      <c r="J38" s="47">
        <v>5</v>
      </c>
      <c r="K38" s="47">
        <v>5</v>
      </c>
      <c r="L38" s="45">
        <f t="shared" si="10"/>
        <v>18</v>
      </c>
      <c r="M38" s="48">
        <f t="shared" si="11"/>
        <v>2</v>
      </c>
      <c r="N38" s="48">
        <f t="shared" si="12"/>
        <v>20</v>
      </c>
      <c r="O38" s="51" t="str">
        <f t="shared" si="13"/>
        <v>Hóa</v>
      </c>
      <c r="P38" s="51">
        <f t="shared" si="14"/>
        <v>26</v>
      </c>
      <c r="Q38" s="48" t="str">
        <f t="shared" si="19"/>
        <v xml:space="preserve">  </v>
      </c>
      <c r="R38" s="51" t="str">
        <f t="shared" si="15"/>
        <v/>
      </c>
      <c r="S38" s="51" t="str">
        <f t="shared" si="16"/>
        <v/>
      </c>
    </row>
    <row r="39" spans="2:19" ht="16" thickBot="1" x14ac:dyDescent="0.25">
      <c r="B39" s="45" t="s">
        <v>123</v>
      </c>
      <c r="C39" s="45" t="s">
        <v>96</v>
      </c>
      <c r="D39" s="45" t="s">
        <v>97</v>
      </c>
      <c r="E39" s="45" t="s">
        <v>62</v>
      </c>
      <c r="F39" s="47">
        <v>1984</v>
      </c>
      <c r="G39" s="45" t="s">
        <v>103</v>
      </c>
      <c r="H39" s="47">
        <v>5</v>
      </c>
      <c r="I39" s="47">
        <v>8</v>
      </c>
      <c r="J39" s="47">
        <v>9</v>
      </c>
      <c r="K39" s="47">
        <v>7</v>
      </c>
      <c r="L39" s="45">
        <f t="shared" si="10"/>
        <v>29</v>
      </c>
      <c r="M39" s="48">
        <f t="shared" si="11"/>
        <v>2</v>
      </c>
      <c r="N39" s="48">
        <f t="shared" si="12"/>
        <v>31</v>
      </c>
      <c r="O39" s="51" t="str">
        <f t="shared" si="13"/>
        <v>Toán</v>
      </c>
      <c r="P39" s="51">
        <f t="shared" si="14"/>
        <v>30</v>
      </c>
      <c r="Q39" s="48" t="str">
        <f t="shared" si="19"/>
        <v>Đạt</v>
      </c>
      <c r="R39" s="51" t="str">
        <f t="shared" si="15"/>
        <v/>
      </c>
      <c r="S39" s="51" t="str">
        <f t="shared" si="16"/>
        <v/>
      </c>
    </row>
    <row r="40" spans="2:19" ht="16" hidden="1" thickBot="1" x14ac:dyDescent="0.25">
      <c r="B40" s="45" t="s">
        <v>108</v>
      </c>
      <c r="C40" s="45" t="s">
        <v>89</v>
      </c>
      <c r="D40" s="45" t="s">
        <v>90</v>
      </c>
      <c r="E40" s="45"/>
      <c r="F40" s="47">
        <v>1972</v>
      </c>
      <c r="G40" s="45" t="s">
        <v>72</v>
      </c>
      <c r="H40" s="47">
        <v>5</v>
      </c>
      <c r="I40" s="47">
        <v>8</v>
      </c>
      <c r="J40" s="47">
        <v>1</v>
      </c>
      <c r="K40" s="47">
        <v>9</v>
      </c>
      <c r="L40" s="45">
        <f t="shared" si="10"/>
        <v>23</v>
      </c>
      <c r="M40" s="48">
        <f t="shared" si="11"/>
        <v>2</v>
      </c>
      <c r="N40" s="48">
        <f t="shared" si="12"/>
        <v>25</v>
      </c>
      <c r="O40" s="51" t="str">
        <f t="shared" si="13"/>
        <v>Lý</v>
      </c>
      <c r="P40" s="51">
        <f t="shared" si="14"/>
        <v>28</v>
      </c>
      <c r="Q40" s="48" t="str">
        <f t="shared" si="19"/>
        <v xml:space="preserve">  </v>
      </c>
      <c r="R40" s="51" t="str">
        <f t="shared" si="15"/>
        <v/>
      </c>
      <c r="S40" s="51" t="str">
        <f t="shared" si="16"/>
        <v/>
      </c>
    </row>
    <row r="41" spans="2:19" ht="16" hidden="1" thickBot="1" x14ac:dyDescent="0.25">
      <c r="B41" s="45" t="s">
        <v>119</v>
      </c>
      <c r="C41" s="45" t="s">
        <v>64</v>
      </c>
      <c r="D41" s="45" t="s">
        <v>65</v>
      </c>
      <c r="E41" s="45"/>
      <c r="F41" s="47">
        <v>1986</v>
      </c>
      <c r="G41" s="45" t="s">
        <v>81</v>
      </c>
      <c r="H41" s="47">
        <v>6</v>
      </c>
      <c r="I41" s="47">
        <v>4</v>
      </c>
      <c r="J41" s="47">
        <v>5</v>
      </c>
      <c r="K41" s="47">
        <v>7</v>
      </c>
      <c r="L41" s="45">
        <f t="shared" si="10"/>
        <v>22</v>
      </c>
      <c r="M41" s="48">
        <f t="shared" si="11"/>
        <v>1</v>
      </c>
      <c r="N41" s="48">
        <f t="shared" si="12"/>
        <v>23</v>
      </c>
      <c r="O41" s="51" t="str">
        <f t="shared" si="13"/>
        <v>Lý</v>
      </c>
      <c r="P41" s="51">
        <f t="shared" si="14"/>
        <v>28</v>
      </c>
      <c r="Q41" s="48" t="str">
        <f t="shared" si="19"/>
        <v xml:space="preserve">  </v>
      </c>
      <c r="R41" s="51" t="str">
        <f t="shared" si="15"/>
        <v/>
      </c>
      <c r="S41" s="51" t="str">
        <f t="shared" si="16"/>
        <v/>
      </c>
    </row>
    <row r="42" spans="2:19" ht="16" hidden="1" thickBot="1" x14ac:dyDescent="0.25">
      <c r="B42" s="45" t="s">
        <v>109</v>
      </c>
      <c r="C42" s="45" t="s">
        <v>84</v>
      </c>
      <c r="D42" s="45" t="s">
        <v>85</v>
      </c>
      <c r="E42" s="45"/>
      <c r="F42" s="47">
        <v>1980</v>
      </c>
      <c r="G42" s="45" t="s">
        <v>59</v>
      </c>
      <c r="H42" s="47">
        <v>8</v>
      </c>
      <c r="I42" s="47">
        <v>5</v>
      </c>
      <c r="J42" s="47">
        <v>2</v>
      </c>
      <c r="K42" s="47">
        <v>5</v>
      </c>
      <c r="L42" s="45">
        <f t="shared" si="10"/>
        <v>20</v>
      </c>
      <c r="M42" s="48">
        <f t="shared" si="11"/>
        <v>2</v>
      </c>
      <c r="N42" s="48">
        <f t="shared" si="12"/>
        <v>22</v>
      </c>
      <c r="O42" s="51" t="str">
        <f t="shared" si="13"/>
        <v>Hóa</v>
      </c>
      <c r="P42" s="51">
        <f t="shared" si="14"/>
        <v>26</v>
      </c>
      <c r="Q42" s="48" t="str">
        <f t="shared" si="19"/>
        <v xml:space="preserve">  </v>
      </c>
      <c r="R42" s="51" t="str">
        <f t="shared" si="15"/>
        <v/>
      </c>
      <c r="S42" s="51" t="str">
        <f t="shared" si="16"/>
        <v/>
      </c>
    </row>
    <row r="43" spans="2:19" ht="16" thickBot="1" x14ac:dyDescent="0.25">
      <c r="B43" s="45" t="s">
        <v>113</v>
      </c>
      <c r="C43" s="45" t="s">
        <v>92</v>
      </c>
      <c r="D43" s="45" t="s">
        <v>85</v>
      </c>
      <c r="E43" s="45"/>
      <c r="F43" s="47">
        <v>1970</v>
      </c>
      <c r="G43" s="45" t="s">
        <v>83</v>
      </c>
      <c r="H43" s="47">
        <v>8</v>
      </c>
      <c r="I43" s="47">
        <v>8</v>
      </c>
      <c r="J43" s="47">
        <v>6</v>
      </c>
      <c r="K43" s="47">
        <v>6</v>
      </c>
      <c r="L43" s="45">
        <f t="shared" si="10"/>
        <v>28</v>
      </c>
      <c r="M43" s="48">
        <f t="shared" si="11"/>
        <v>1</v>
      </c>
      <c r="N43" s="48">
        <f t="shared" si="12"/>
        <v>29</v>
      </c>
      <c r="O43" s="51" t="str">
        <f t="shared" si="13"/>
        <v>Sinh</v>
      </c>
      <c r="P43" s="51">
        <f t="shared" si="14"/>
        <v>24</v>
      </c>
      <c r="Q43" s="48" t="str">
        <f t="shared" si="19"/>
        <v>Đạt</v>
      </c>
      <c r="R43" s="51" t="str">
        <f t="shared" si="15"/>
        <v/>
      </c>
      <c r="S43" s="51" t="str">
        <f t="shared" si="16"/>
        <v/>
      </c>
    </row>
    <row r="44" spans="2:19" ht="16" hidden="1" thickBot="1" x14ac:dyDescent="0.25">
      <c r="B44" s="45" t="s">
        <v>107</v>
      </c>
      <c r="C44" s="45" t="s">
        <v>79</v>
      </c>
      <c r="D44" s="45" t="s">
        <v>80</v>
      </c>
      <c r="E44" s="45" t="s">
        <v>62</v>
      </c>
      <c r="F44" s="47">
        <v>1969</v>
      </c>
      <c r="G44" s="45" t="s">
        <v>69</v>
      </c>
      <c r="H44" s="47">
        <v>6</v>
      </c>
      <c r="I44" s="47">
        <v>3</v>
      </c>
      <c r="J44" s="47">
        <v>3</v>
      </c>
      <c r="K44" s="47">
        <v>7</v>
      </c>
      <c r="L44" s="45">
        <f t="shared" si="10"/>
        <v>19</v>
      </c>
      <c r="M44" s="48">
        <f t="shared" si="11"/>
        <v>1</v>
      </c>
      <c r="N44" s="48">
        <f t="shared" si="12"/>
        <v>20</v>
      </c>
      <c r="O44" s="51" t="str">
        <f t="shared" si="13"/>
        <v>Lý</v>
      </c>
      <c r="P44" s="51">
        <f t="shared" si="14"/>
        <v>28</v>
      </c>
      <c r="Q44" s="48" t="str">
        <f t="shared" si="19"/>
        <v xml:space="preserve">  </v>
      </c>
      <c r="R44" s="51" t="str">
        <f t="shared" si="15"/>
        <v/>
      </c>
      <c r="S44" s="51" t="str">
        <f t="shared" si="16"/>
        <v/>
      </c>
    </row>
    <row r="45" spans="2:19" ht="16" hidden="1" thickBot="1" x14ac:dyDescent="0.25">
      <c r="B45" s="45" t="s">
        <v>104</v>
      </c>
      <c r="C45" s="45" t="s">
        <v>57</v>
      </c>
      <c r="D45" s="45" t="s">
        <v>58</v>
      </c>
      <c r="E45" s="45"/>
      <c r="F45" s="47">
        <v>1973</v>
      </c>
      <c r="G45" s="45" t="s">
        <v>59</v>
      </c>
      <c r="H45" s="47">
        <v>5</v>
      </c>
      <c r="I45" s="47">
        <v>3</v>
      </c>
      <c r="J45" s="47">
        <v>4</v>
      </c>
      <c r="K45" s="47">
        <v>8</v>
      </c>
      <c r="L45" s="45">
        <f t="shared" si="10"/>
        <v>20</v>
      </c>
      <c r="M45" s="48">
        <f t="shared" si="11"/>
        <v>2</v>
      </c>
      <c r="N45" s="48">
        <f t="shared" si="12"/>
        <v>22</v>
      </c>
      <c r="O45" s="51" t="str">
        <f t="shared" si="13"/>
        <v>Toán</v>
      </c>
      <c r="P45" s="51">
        <f t="shared" si="14"/>
        <v>30</v>
      </c>
      <c r="Q45" s="48" t="str">
        <f t="shared" si="19"/>
        <v xml:space="preserve">  </v>
      </c>
      <c r="R45" s="51" t="str">
        <f t="shared" si="15"/>
        <v/>
      </c>
      <c r="S45" s="51" t="str">
        <f t="shared" si="16"/>
        <v/>
      </c>
    </row>
    <row r="46" spans="2:19" ht="16" thickBot="1" x14ac:dyDescent="0.25">
      <c r="B46" s="45" t="s">
        <v>117</v>
      </c>
      <c r="C46" s="45" t="s">
        <v>77</v>
      </c>
      <c r="D46" s="45" t="s">
        <v>58</v>
      </c>
      <c r="E46" s="45"/>
      <c r="F46" s="47">
        <v>1984</v>
      </c>
      <c r="G46" s="45" t="s">
        <v>63</v>
      </c>
      <c r="H46" s="47">
        <v>7</v>
      </c>
      <c r="I46" s="47">
        <v>9</v>
      </c>
      <c r="J46" s="47">
        <v>8</v>
      </c>
      <c r="K46" s="47">
        <v>10</v>
      </c>
      <c r="L46" s="45">
        <f t="shared" si="10"/>
        <v>34</v>
      </c>
      <c r="M46" s="48">
        <f t="shared" si="11"/>
        <v>1.5</v>
      </c>
      <c r="N46" s="48">
        <f t="shared" si="12"/>
        <v>35.5</v>
      </c>
      <c r="O46" s="51" t="str">
        <f t="shared" si="13"/>
        <v>Lý</v>
      </c>
      <c r="P46" s="51">
        <f t="shared" si="14"/>
        <v>28</v>
      </c>
      <c r="Q46" s="48" t="str">
        <f t="shared" ref="Q46:Q47" si="20">IF(N46 &gt;= P46,"Đạt","  ")</f>
        <v>Đạt</v>
      </c>
      <c r="R46" s="51" t="str">
        <f t="shared" si="15"/>
        <v/>
      </c>
      <c r="S46" s="51" t="str">
        <f t="shared" si="16"/>
        <v/>
      </c>
    </row>
    <row r="47" spans="2:19" ht="16" thickBot="1" x14ac:dyDescent="0.25">
      <c r="B47" s="45" t="s">
        <v>115</v>
      </c>
      <c r="C47" s="45" t="s">
        <v>98</v>
      </c>
      <c r="D47" s="45" t="s">
        <v>99</v>
      </c>
      <c r="E47" s="45" t="s">
        <v>62</v>
      </c>
      <c r="F47" s="47">
        <v>1982</v>
      </c>
      <c r="G47" s="45" t="s">
        <v>88</v>
      </c>
      <c r="H47" s="47">
        <v>6</v>
      </c>
      <c r="I47" s="47">
        <v>9</v>
      </c>
      <c r="J47" s="47">
        <v>10</v>
      </c>
      <c r="K47" s="47">
        <v>8</v>
      </c>
      <c r="L47" s="45">
        <f t="shared" si="10"/>
        <v>33</v>
      </c>
      <c r="M47" s="48">
        <f t="shared" si="11"/>
        <v>1.5</v>
      </c>
      <c r="N47" s="48">
        <f t="shared" si="12"/>
        <v>34.5</v>
      </c>
      <c r="O47" s="51" t="str">
        <f t="shared" si="13"/>
        <v>Lý</v>
      </c>
      <c r="P47" s="51">
        <f t="shared" si="14"/>
        <v>28</v>
      </c>
      <c r="Q47" s="48" t="str">
        <f t="shared" si="20"/>
        <v>Đạt</v>
      </c>
      <c r="R47" s="51" t="str">
        <f t="shared" si="15"/>
        <v/>
      </c>
      <c r="S47" s="51" t="str">
        <f t="shared" si="16"/>
        <v/>
      </c>
    </row>
    <row r="49" spans="3:7" ht="16" thickBot="1" x14ac:dyDescent="0.25">
      <c r="C49" s="80" t="s">
        <v>138</v>
      </c>
      <c r="D49" s="80"/>
      <c r="E49" s="80"/>
      <c r="F49" s="80"/>
      <c r="G49" s="80"/>
    </row>
    <row r="50" spans="3:7" ht="16" thickBot="1" x14ac:dyDescent="0.25">
      <c r="C50" s="54" t="s">
        <v>132</v>
      </c>
      <c r="D50" s="54" t="s">
        <v>133</v>
      </c>
      <c r="E50" s="75" t="s">
        <v>134</v>
      </c>
      <c r="F50" s="75"/>
      <c r="G50" s="54" t="s">
        <v>135</v>
      </c>
    </row>
    <row r="51" spans="3:7" ht="16" thickBot="1" x14ac:dyDescent="0.25">
      <c r="C51" s="54" t="s">
        <v>136</v>
      </c>
      <c r="D51" s="53">
        <f>COUNTIF(Q4:Q23,"Đạt")</f>
        <v>12</v>
      </c>
      <c r="E51" s="76">
        <f>COUNTIF(Q4:Q23,"  ")</f>
        <v>8</v>
      </c>
      <c r="F51" s="77"/>
      <c r="G51" s="53">
        <f>SUM(D51:F51)</f>
        <v>20</v>
      </c>
    </row>
    <row r="52" spans="3:7" ht="16" thickBot="1" x14ac:dyDescent="0.25">
      <c r="C52" s="54" t="s">
        <v>137</v>
      </c>
      <c r="D52" s="55">
        <f>D51/G51</f>
        <v>0.6</v>
      </c>
      <c r="E52" s="78">
        <f>E51/G51</f>
        <v>0.4</v>
      </c>
      <c r="F52" s="79"/>
      <c r="G52" s="56">
        <f>SUM(D52:F52)</f>
        <v>1</v>
      </c>
    </row>
    <row r="56" spans="3:7" x14ac:dyDescent="0.2">
      <c r="D56" s="52"/>
    </row>
  </sheetData>
  <autoFilter ref="B26:S47" xr:uid="{A8AA3581-6FA2-4A38-B50F-881363E589DF}">
    <filterColumn colId="15">
      <customFilters>
        <customFilter operator="notEqual" val=" "/>
      </customFilters>
    </filterColumn>
  </autoFilter>
  <mergeCells count="41">
    <mergeCell ref="S26:S27"/>
    <mergeCell ref="E50:F50"/>
    <mergeCell ref="E51:F51"/>
    <mergeCell ref="E52:F52"/>
    <mergeCell ref="C49:G49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A2:A3"/>
    <mergeCell ref="B26:B27"/>
    <mergeCell ref="C26:C27"/>
    <mergeCell ref="D26:D27"/>
    <mergeCell ref="E26:E27"/>
    <mergeCell ref="F26:F27"/>
    <mergeCell ref="B2:B3"/>
    <mergeCell ref="C2:C3"/>
    <mergeCell ref="D2:D3"/>
    <mergeCell ref="E2:E3"/>
    <mergeCell ref="F2:F3"/>
    <mergeCell ref="G2:G3"/>
    <mergeCell ref="S2:S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E74C-6591-4B8B-98B3-27C1D8EBDB73}">
  <sheetPr filterMode="1"/>
  <dimension ref="A2:S53"/>
  <sheetViews>
    <sheetView zoomScaleNormal="100" workbookViewId="0">
      <selection activeCell="A16" sqref="A16"/>
    </sheetView>
  </sheetViews>
  <sheetFormatPr baseColWidth="10" defaultColWidth="8.83203125" defaultRowHeight="15" x14ac:dyDescent="0.2"/>
  <cols>
    <col min="1" max="1" width="15.83203125" style="58" bestFit="1" customWidth="1"/>
    <col min="2" max="2" width="8.83203125" style="58"/>
    <col min="3" max="3" width="15.6640625" style="58" bestFit="1" customWidth="1"/>
    <col min="4" max="7" width="8.83203125" style="58"/>
    <col min="8" max="8" width="16.83203125" style="58" bestFit="1" customWidth="1"/>
    <col min="9" max="9" width="10.6640625" style="58" bestFit="1" customWidth="1"/>
    <col min="10" max="10" width="10" style="58" bestFit="1" customWidth="1"/>
    <col min="11" max="12" width="10.33203125" style="58" bestFit="1" customWidth="1"/>
    <col min="13" max="13" width="17.5" style="58" bestFit="1" customWidth="1"/>
    <col min="14" max="14" width="14.33203125" style="58" customWidth="1"/>
    <col min="15" max="15" width="12.83203125" style="58" bestFit="1" customWidth="1"/>
    <col min="16" max="16" width="19.6640625" style="58" customWidth="1"/>
    <col min="17" max="17" width="12.83203125" style="58" customWidth="1"/>
    <col min="18" max="19" width="8.83203125" style="58" customWidth="1"/>
  </cols>
  <sheetData>
    <row r="2" spans="1:16" x14ac:dyDescent="0.2">
      <c r="B2"/>
      <c r="C2"/>
      <c r="D2"/>
      <c r="E2"/>
      <c r="F2"/>
      <c r="G2" t="s">
        <v>151</v>
      </c>
      <c r="H2"/>
      <c r="I2">
        <v>24</v>
      </c>
      <c r="J2"/>
      <c r="K2"/>
      <c r="L2"/>
      <c r="M2"/>
      <c r="N2"/>
      <c r="O2"/>
      <c r="P2"/>
    </row>
    <row r="3" spans="1:16" ht="16" thickBot="1" x14ac:dyDescent="0.25">
      <c r="B3"/>
      <c r="C3"/>
      <c r="D3"/>
      <c r="E3"/>
      <c r="F3"/>
      <c r="G3" s="59" t="s">
        <v>150</v>
      </c>
      <c r="H3" s="59"/>
      <c r="I3" s="60">
        <v>45230</v>
      </c>
      <c r="J3"/>
      <c r="K3"/>
      <c r="L3"/>
      <c r="M3"/>
      <c r="N3"/>
      <c r="O3"/>
      <c r="P3"/>
    </row>
    <row r="4" spans="1:16" ht="16" thickBot="1" x14ac:dyDescent="0.25">
      <c r="A4" s="73" t="s">
        <v>131</v>
      </c>
      <c r="B4" s="73" t="s">
        <v>139</v>
      </c>
      <c r="C4" s="81" t="s">
        <v>46</v>
      </c>
      <c r="D4" s="74" t="s">
        <v>48</v>
      </c>
      <c r="E4" s="73" t="s">
        <v>140</v>
      </c>
      <c r="F4" s="73" t="s">
        <v>50</v>
      </c>
      <c r="G4" s="73" t="s">
        <v>51</v>
      </c>
      <c r="H4" s="73" t="s">
        <v>141</v>
      </c>
      <c r="I4" s="73" t="s">
        <v>142</v>
      </c>
      <c r="J4" s="73" t="s">
        <v>143</v>
      </c>
      <c r="K4" s="73" t="s">
        <v>144</v>
      </c>
      <c r="L4" s="73" t="s">
        <v>145</v>
      </c>
      <c r="M4" s="73" t="s">
        <v>146</v>
      </c>
      <c r="N4" s="73" t="s">
        <v>147</v>
      </c>
      <c r="O4" s="73" t="s">
        <v>148</v>
      </c>
      <c r="P4" s="73" t="s">
        <v>149</v>
      </c>
    </row>
    <row r="5" spans="1:16" ht="16" thickBot="1" x14ac:dyDescent="0.25">
      <c r="A5" s="73"/>
      <c r="B5" s="73"/>
      <c r="C5" s="82"/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ht="16" thickBot="1" x14ac:dyDescent="0.25">
      <c r="A6" s="50">
        <v>1</v>
      </c>
      <c r="B6" s="45" t="s">
        <v>104</v>
      </c>
      <c r="C6" s="45" t="s">
        <v>57</v>
      </c>
      <c r="D6" s="45" t="s">
        <v>58</v>
      </c>
      <c r="E6" s="45"/>
      <c r="F6" s="47">
        <v>1973</v>
      </c>
      <c r="G6" s="45" t="s">
        <v>59</v>
      </c>
      <c r="H6" s="57">
        <v>35462</v>
      </c>
      <c r="I6" s="47">
        <v>20</v>
      </c>
      <c r="J6" s="48">
        <f t="shared" ref="J6:J20" si="0">IF(LEFT(B6,1)="A",330,IF(LEFT(B6,1)="B",310,IF(LEFT(B6,1)="C",290,275)))</f>
        <v>330</v>
      </c>
      <c r="K6" s="53" t="str">
        <f t="shared" ref="K6:K20" si="1">IF(RIGHT(B6,1)="1","Kỹ thuật",IF(RIGHT(B6,1)="2","Kế toán","Kế hoạch"))</f>
        <v>Kỹ thuật</v>
      </c>
      <c r="L6" s="48">
        <f>DATEDIF(H6,I3,"y")</f>
        <v>26</v>
      </c>
      <c r="M6" s="64">
        <f t="shared" ref="M6:M20" si="2">L6*20000</f>
        <v>520000</v>
      </c>
      <c r="N6" s="64">
        <f>IF(I6 &lt;=I2, I6*J6*1000, (I2+(I6-I2)*2)*J6*1000)</f>
        <v>6600000</v>
      </c>
      <c r="O6" s="64">
        <f t="shared" ref="O6:O20" si="3">ROUND(N6/3, -3)</f>
        <v>2200000</v>
      </c>
      <c r="P6" s="64">
        <f t="shared" ref="P6:P20" si="4">N6+M6-O6</f>
        <v>4920000</v>
      </c>
    </row>
    <row r="7" spans="1:16" ht="16" thickBot="1" x14ac:dyDescent="0.25">
      <c r="A7" s="50">
        <f t="shared" ref="A7:A20" si="5">A6+1</f>
        <v>2</v>
      </c>
      <c r="B7" s="45" t="s">
        <v>105</v>
      </c>
      <c r="C7" s="45" t="s">
        <v>60</v>
      </c>
      <c r="D7" s="45" t="s">
        <v>61</v>
      </c>
      <c r="E7" s="45" t="s">
        <v>62</v>
      </c>
      <c r="F7" s="47">
        <v>1974</v>
      </c>
      <c r="G7" s="45" t="s">
        <v>63</v>
      </c>
      <c r="H7" s="57">
        <v>35935</v>
      </c>
      <c r="I7" s="47">
        <v>25</v>
      </c>
      <c r="J7" s="48">
        <f t="shared" si="0"/>
        <v>310</v>
      </c>
      <c r="K7" s="53" t="str">
        <f t="shared" si="1"/>
        <v>Kế toán</v>
      </c>
      <c r="L7" s="48">
        <f>DATEDIF(H7,I3,"y")</f>
        <v>25</v>
      </c>
      <c r="M7" s="64">
        <f t="shared" si="2"/>
        <v>500000</v>
      </c>
      <c r="N7" s="64">
        <f>IF(I7 &lt;=I2, I7*J7*1000, (I2+(I7-I2)*2)*J7*1000)</f>
        <v>8060000</v>
      </c>
      <c r="O7" s="64">
        <f t="shared" si="3"/>
        <v>2687000</v>
      </c>
      <c r="P7" s="64">
        <f t="shared" si="4"/>
        <v>5873000</v>
      </c>
    </row>
    <row r="8" spans="1:16" ht="16" thickBot="1" x14ac:dyDescent="0.25">
      <c r="A8" s="50">
        <f t="shared" si="5"/>
        <v>3</v>
      </c>
      <c r="B8" s="45" t="s">
        <v>106</v>
      </c>
      <c r="C8" s="45" t="s">
        <v>64</v>
      </c>
      <c r="D8" s="45" t="s">
        <v>65</v>
      </c>
      <c r="E8" s="45"/>
      <c r="F8" s="47">
        <v>1975</v>
      </c>
      <c r="G8" s="45" t="s">
        <v>66</v>
      </c>
      <c r="H8" s="57">
        <v>36032</v>
      </c>
      <c r="I8" s="47">
        <v>24</v>
      </c>
      <c r="J8" s="48">
        <f t="shared" si="0"/>
        <v>290</v>
      </c>
      <c r="K8" s="53" t="str">
        <f t="shared" si="1"/>
        <v>Kỹ thuật</v>
      </c>
      <c r="L8" s="48">
        <f>DATEDIF(H8,I3,"y")</f>
        <v>25</v>
      </c>
      <c r="M8" s="64">
        <f t="shared" si="2"/>
        <v>500000</v>
      </c>
      <c r="N8" s="64">
        <f>IF(I8 &lt;=I2, I8*J8*1000, (I2+(I8-I2)*2)*J8*1000)</f>
        <v>6960000</v>
      </c>
      <c r="O8" s="64">
        <f t="shared" si="3"/>
        <v>2320000</v>
      </c>
      <c r="P8" s="64">
        <f t="shared" si="4"/>
        <v>5140000</v>
      </c>
    </row>
    <row r="9" spans="1:16" ht="16" thickBot="1" x14ac:dyDescent="0.25">
      <c r="A9" s="50">
        <f t="shared" si="5"/>
        <v>4</v>
      </c>
      <c r="B9" s="45" t="s">
        <v>107</v>
      </c>
      <c r="C9" s="45" t="s">
        <v>67</v>
      </c>
      <c r="D9" s="45" t="s">
        <v>68</v>
      </c>
      <c r="E9" s="45" t="s">
        <v>62</v>
      </c>
      <c r="F9" s="47">
        <v>1969</v>
      </c>
      <c r="G9" s="45" t="s">
        <v>69</v>
      </c>
      <c r="H9" s="57">
        <v>34545</v>
      </c>
      <c r="I9" s="47">
        <v>24</v>
      </c>
      <c r="J9" s="48">
        <f t="shared" si="0"/>
        <v>310</v>
      </c>
      <c r="K9" s="53" t="str">
        <f t="shared" si="1"/>
        <v>Kế hoạch</v>
      </c>
      <c r="L9" s="48">
        <f>DATEDIF(H9,I3,"y")</f>
        <v>29</v>
      </c>
      <c r="M9" s="64">
        <f t="shared" si="2"/>
        <v>580000</v>
      </c>
      <c r="N9" s="64">
        <f>IF(I9 &lt;=I2, I9*J9*1000, (I2+(I9-I2)*2)*J9*1000)</f>
        <v>7440000</v>
      </c>
      <c r="O9" s="64">
        <f t="shared" si="3"/>
        <v>2480000</v>
      </c>
      <c r="P9" s="64">
        <f t="shared" si="4"/>
        <v>5540000</v>
      </c>
    </row>
    <row r="10" spans="1:16" ht="16" thickBot="1" x14ac:dyDescent="0.25">
      <c r="A10" s="50">
        <f t="shared" si="5"/>
        <v>5</v>
      </c>
      <c r="B10" s="45" t="s">
        <v>108</v>
      </c>
      <c r="C10" s="45" t="s">
        <v>70</v>
      </c>
      <c r="D10" s="45" t="s">
        <v>71</v>
      </c>
      <c r="E10" s="45"/>
      <c r="F10" s="47">
        <v>1972</v>
      </c>
      <c r="G10" s="45" t="s">
        <v>72</v>
      </c>
      <c r="H10" s="57">
        <v>35972</v>
      </c>
      <c r="I10" s="47">
        <v>25</v>
      </c>
      <c r="J10" s="48">
        <f t="shared" si="0"/>
        <v>310</v>
      </c>
      <c r="K10" s="53" t="str">
        <f t="shared" si="1"/>
        <v>Kỹ thuật</v>
      </c>
      <c r="L10" s="48">
        <f>DATEDIF(H10,I3,"y")</f>
        <v>25</v>
      </c>
      <c r="M10" s="64">
        <f t="shared" si="2"/>
        <v>500000</v>
      </c>
      <c r="N10" s="64">
        <f>IF(I10 &lt;=I2, I10*J10*1000, (I2+(I10-I2)*2)*J10*1000)</f>
        <v>8060000</v>
      </c>
      <c r="O10" s="64">
        <f t="shared" si="3"/>
        <v>2687000</v>
      </c>
      <c r="P10" s="64">
        <f t="shared" si="4"/>
        <v>5873000</v>
      </c>
    </row>
    <row r="11" spans="1:16" ht="16" thickBot="1" x14ac:dyDescent="0.25">
      <c r="A11" s="50">
        <f t="shared" si="5"/>
        <v>6</v>
      </c>
      <c r="B11" s="45" t="s">
        <v>109</v>
      </c>
      <c r="C11" s="45" t="s">
        <v>73</v>
      </c>
      <c r="D11" s="45" t="s">
        <v>74</v>
      </c>
      <c r="E11" s="45"/>
      <c r="F11" s="47">
        <v>1964</v>
      </c>
      <c r="G11" s="45" t="s">
        <v>59</v>
      </c>
      <c r="H11" s="57">
        <v>34344</v>
      </c>
      <c r="I11" s="47">
        <v>26</v>
      </c>
      <c r="J11" s="48">
        <f t="shared" si="0"/>
        <v>290</v>
      </c>
      <c r="K11" s="53" t="str">
        <f t="shared" si="1"/>
        <v>Kỹ thuật</v>
      </c>
      <c r="L11" s="48">
        <f>DATEDIF(H11,I3,"y")</f>
        <v>29</v>
      </c>
      <c r="M11" s="64">
        <f t="shared" si="2"/>
        <v>580000</v>
      </c>
      <c r="N11" s="64">
        <f>IF(I11 &lt;=I2, I11*J11*1000, (I2+(I11-I2)*2)*J11*1000)</f>
        <v>8120000</v>
      </c>
      <c r="O11" s="64">
        <f t="shared" si="3"/>
        <v>2707000</v>
      </c>
      <c r="P11" s="64">
        <f t="shared" si="4"/>
        <v>5993000</v>
      </c>
    </row>
    <row r="12" spans="1:16" ht="16" thickBot="1" x14ac:dyDescent="0.25">
      <c r="A12" s="50">
        <f t="shared" si="5"/>
        <v>7</v>
      </c>
      <c r="B12" s="45" t="s">
        <v>110</v>
      </c>
      <c r="C12" s="45" t="s">
        <v>75</v>
      </c>
      <c r="D12" s="45" t="s">
        <v>76</v>
      </c>
      <c r="E12" s="45" t="s">
        <v>62</v>
      </c>
      <c r="F12" s="47">
        <v>1977</v>
      </c>
      <c r="G12" s="45" t="s">
        <v>63</v>
      </c>
      <c r="H12" s="57">
        <v>34957</v>
      </c>
      <c r="I12" s="47">
        <v>20</v>
      </c>
      <c r="J12" s="48">
        <f t="shared" si="0"/>
        <v>275</v>
      </c>
      <c r="K12" s="53" t="str">
        <f t="shared" si="1"/>
        <v>Kế toán</v>
      </c>
      <c r="L12" s="48">
        <f>DATEDIF(H12,I3,"y")</f>
        <v>28</v>
      </c>
      <c r="M12" s="64">
        <f t="shared" si="2"/>
        <v>560000</v>
      </c>
      <c r="N12" s="64">
        <f>IF(I12 &lt;=I2, I12*J12*1000, (I2+(I12-I2)*2)*J12*1000)</f>
        <v>5500000</v>
      </c>
      <c r="O12" s="64">
        <f t="shared" si="3"/>
        <v>1833000</v>
      </c>
      <c r="P12" s="64">
        <f t="shared" si="4"/>
        <v>4227000</v>
      </c>
    </row>
    <row r="13" spans="1:16" ht="16" thickBot="1" x14ac:dyDescent="0.25">
      <c r="A13" s="50">
        <f t="shared" si="5"/>
        <v>8</v>
      </c>
      <c r="B13" s="45" t="s">
        <v>111</v>
      </c>
      <c r="C13" s="45" t="s">
        <v>77</v>
      </c>
      <c r="D13" s="45" t="s">
        <v>58</v>
      </c>
      <c r="E13" s="45"/>
      <c r="F13" s="47">
        <v>1973</v>
      </c>
      <c r="G13" s="45" t="s">
        <v>78</v>
      </c>
      <c r="H13" s="57">
        <v>35251</v>
      </c>
      <c r="I13" s="47">
        <v>22</v>
      </c>
      <c r="J13" s="48">
        <f t="shared" si="0"/>
        <v>330</v>
      </c>
      <c r="K13" s="53" t="str">
        <f t="shared" si="1"/>
        <v>Kế hoạch</v>
      </c>
      <c r="L13" s="48">
        <f>DATEDIF(H13,I3,"y")</f>
        <v>27</v>
      </c>
      <c r="M13" s="64">
        <f t="shared" si="2"/>
        <v>540000</v>
      </c>
      <c r="N13" s="64">
        <f>IF(I13 &lt;=I2, I13*J13*1000, (I2+(I13-I2)*2)*J13*1000)</f>
        <v>7260000</v>
      </c>
      <c r="O13" s="64">
        <f t="shared" si="3"/>
        <v>2420000</v>
      </c>
      <c r="P13" s="64">
        <f t="shared" si="4"/>
        <v>5380000</v>
      </c>
    </row>
    <row r="14" spans="1:16" ht="16" thickBot="1" x14ac:dyDescent="0.25">
      <c r="A14" s="50">
        <f t="shared" si="5"/>
        <v>9</v>
      </c>
      <c r="B14" s="45" t="s">
        <v>112</v>
      </c>
      <c r="C14" s="45" t="s">
        <v>79</v>
      </c>
      <c r="D14" s="45" t="s">
        <v>80</v>
      </c>
      <c r="E14" s="45" t="s">
        <v>62</v>
      </c>
      <c r="F14" s="47">
        <v>1975</v>
      </c>
      <c r="G14" s="45" t="s">
        <v>81</v>
      </c>
      <c r="H14" s="57">
        <v>35709</v>
      </c>
      <c r="I14" s="47">
        <v>24</v>
      </c>
      <c r="J14" s="48">
        <f t="shared" si="0"/>
        <v>290</v>
      </c>
      <c r="K14" s="53" t="str">
        <f t="shared" si="1"/>
        <v>Kế toán</v>
      </c>
      <c r="L14" s="48">
        <f>DATEDIF(H14,I3,"y")</f>
        <v>26</v>
      </c>
      <c r="M14" s="64">
        <f t="shared" si="2"/>
        <v>520000</v>
      </c>
      <c r="N14" s="64">
        <f>IF(I14 &lt;=I2, I14*J14*1000, (I2+(I14-I2)*2)*J14*1000)</f>
        <v>6960000</v>
      </c>
      <c r="O14" s="64">
        <f t="shared" si="3"/>
        <v>2320000</v>
      </c>
      <c r="P14" s="64">
        <f t="shared" si="4"/>
        <v>5160000</v>
      </c>
    </row>
    <row r="15" spans="1:16" ht="16" thickBot="1" x14ac:dyDescent="0.25">
      <c r="A15" s="50">
        <f t="shared" si="5"/>
        <v>10</v>
      </c>
      <c r="B15" s="45" t="s">
        <v>113</v>
      </c>
      <c r="C15" s="45" t="s">
        <v>82</v>
      </c>
      <c r="D15" s="45" t="s">
        <v>74</v>
      </c>
      <c r="E15" s="45"/>
      <c r="F15" s="47">
        <v>1970</v>
      </c>
      <c r="G15" s="45" t="s">
        <v>83</v>
      </c>
      <c r="H15" s="57">
        <v>35789</v>
      </c>
      <c r="I15" s="47">
        <v>24</v>
      </c>
      <c r="J15" s="48">
        <f t="shared" si="0"/>
        <v>275</v>
      </c>
      <c r="K15" s="53" t="str">
        <f t="shared" si="1"/>
        <v>Kế hoạch</v>
      </c>
      <c r="L15" s="48">
        <f>DATEDIF(H15,I3,"y")</f>
        <v>25</v>
      </c>
      <c r="M15" s="64">
        <f t="shared" si="2"/>
        <v>500000</v>
      </c>
      <c r="N15" s="64">
        <f>IF(I15 &lt;=I2, I15*J15*1000, (I2+(I15-I2)*2)*J15*1000)</f>
        <v>6600000</v>
      </c>
      <c r="O15" s="64">
        <f t="shared" si="3"/>
        <v>2200000</v>
      </c>
      <c r="P15" s="64">
        <f t="shared" si="4"/>
        <v>4900000</v>
      </c>
    </row>
    <row r="16" spans="1:16" ht="16" thickBot="1" x14ac:dyDescent="0.25">
      <c r="A16" s="50">
        <f t="shared" si="5"/>
        <v>11</v>
      </c>
      <c r="B16" s="45" t="s">
        <v>114</v>
      </c>
      <c r="C16" s="45" t="s">
        <v>84</v>
      </c>
      <c r="D16" s="45" t="s">
        <v>85</v>
      </c>
      <c r="E16" s="45" t="s">
        <v>62</v>
      </c>
      <c r="F16" s="47">
        <v>1966</v>
      </c>
      <c r="G16" s="45" t="s">
        <v>72</v>
      </c>
      <c r="H16" s="57">
        <v>35238</v>
      </c>
      <c r="I16" s="47">
        <v>25</v>
      </c>
      <c r="J16" s="48">
        <f t="shared" si="0"/>
        <v>290</v>
      </c>
      <c r="K16" s="53" t="str">
        <f t="shared" si="1"/>
        <v>Kỹ thuật</v>
      </c>
      <c r="L16" s="48">
        <f>DATEDIF(H16,I3,"y")</f>
        <v>27</v>
      </c>
      <c r="M16" s="64">
        <f t="shared" si="2"/>
        <v>540000</v>
      </c>
      <c r="N16" s="64">
        <f>IF(I16 &lt;=I2, I16*J16*1000, (I2+(I16-I2)*2)*J16*1000)</f>
        <v>7540000</v>
      </c>
      <c r="O16" s="64">
        <f t="shared" si="3"/>
        <v>2513000</v>
      </c>
      <c r="P16" s="64">
        <f t="shared" si="4"/>
        <v>5567000</v>
      </c>
    </row>
    <row r="17" spans="1:16" ht="16" thickBot="1" x14ac:dyDescent="0.25">
      <c r="A17" s="50">
        <f t="shared" si="5"/>
        <v>12</v>
      </c>
      <c r="B17" s="45" t="s">
        <v>115</v>
      </c>
      <c r="C17" s="45" t="s">
        <v>86</v>
      </c>
      <c r="D17" s="45" t="s">
        <v>87</v>
      </c>
      <c r="E17" s="45" t="s">
        <v>62</v>
      </c>
      <c r="F17" s="47">
        <v>1960</v>
      </c>
      <c r="G17" s="45" t="s">
        <v>88</v>
      </c>
      <c r="H17" s="57">
        <v>34069</v>
      </c>
      <c r="I17" s="47">
        <v>24</v>
      </c>
      <c r="J17" s="48">
        <f t="shared" si="0"/>
        <v>310</v>
      </c>
      <c r="K17" s="53" t="str">
        <f t="shared" si="1"/>
        <v>Kế toán</v>
      </c>
      <c r="L17" s="48">
        <f>DATEDIF(H17,I3,"y")</f>
        <v>30</v>
      </c>
      <c r="M17" s="64">
        <f t="shared" si="2"/>
        <v>600000</v>
      </c>
      <c r="N17" s="64">
        <f>IF(I17 &lt;=I2, I17*J17*1000, (I2+(I17-I2)*2)*J17*1000)</f>
        <v>7440000</v>
      </c>
      <c r="O17" s="64">
        <f t="shared" si="3"/>
        <v>2480000</v>
      </c>
      <c r="P17" s="64">
        <f t="shared" si="4"/>
        <v>5560000</v>
      </c>
    </row>
    <row r="18" spans="1:16" ht="16" thickBot="1" x14ac:dyDescent="0.25">
      <c r="A18" s="50">
        <f t="shared" si="5"/>
        <v>13</v>
      </c>
      <c r="B18" s="45" t="s">
        <v>116</v>
      </c>
      <c r="C18" s="45" t="s">
        <v>89</v>
      </c>
      <c r="D18" s="45" t="s">
        <v>90</v>
      </c>
      <c r="E18" s="45" t="s">
        <v>62</v>
      </c>
      <c r="F18" s="47">
        <v>1962</v>
      </c>
      <c r="G18" s="45" t="s">
        <v>59</v>
      </c>
      <c r="H18" s="57">
        <v>34501</v>
      </c>
      <c r="I18" s="47">
        <v>25</v>
      </c>
      <c r="J18" s="48">
        <f t="shared" si="0"/>
        <v>330</v>
      </c>
      <c r="K18" s="53" t="str">
        <f t="shared" si="1"/>
        <v>Kỹ thuật</v>
      </c>
      <c r="L18" s="48">
        <f>DATEDIF(H18,I3,"y")</f>
        <v>29</v>
      </c>
      <c r="M18" s="64">
        <f t="shared" si="2"/>
        <v>580000</v>
      </c>
      <c r="N18" s="64">
        <f>IF(I18 &lt;=I2, I18*J18*1000, (I2+(I18-I2)*2)*J18*1000)</f>
        <v>8580000</v>
      </c>
      <c r="O18" s="64">
        <f t="shared" si="3"/>
        <v>2860000</v>
      </c>
      <c r="P18" s="64">
        <f t="shared" si="4"/>
        <v>6300000</v>
      </c>
    </row>
    <row r="19" spans="1:16" ht="16" thickBot="1" x14ac:dyDescent="0.25">
      <c r="A19" s="50">
        <f t="shared" si="5"/>
        <v>14</v>
      </c>
      <c r="B19" s="45" t="s">
        <v>117</v>
      </c>
      <c r="C19" s="45" t="s">
        <v>91</v>
      </c>
      <c r="D19" s="45" t="s">
        <v>87</v>
      </c>
      <c r="E19" s="45"/>
      <c r="F19" s="47">
        <v>1970</v>
      </c>
      <c r="G19" s="45" t="s">
        <v>63</v>
      </c>
      <c r="H19" s="57">
        <v>34986</v>
      </c>
      <c r="I19" s="47">
        <v>26</v>
      </c>
      <c r="J19" s="48">
        <f t="shared" si="0"/>
        <v>310</v>
      </c>
      <c r="K19" s="53" t="str">
        <f t="shared" si="1"/>
        <v>Kế toán</v>
      </c>
      <c r="L19" s="48">
        <f>DATEDIF(H19,I3,"y")</f>
        <v>28</v>
      </c>
      <c r="M19" s="64">
        <f t="shared" si="2"/>
        <v>560000</v>
      </c>
      <c r="N19" s="64">
        <f>IF(I19 &lt;=I2, I19*J19*1000, (I2+(I19-I2)*2)*J19*1000)</f>
        <v>8680000</v>
      </c>
      <c r="O19" s="64">
        <f t="shared" si="3"/>
        <v>2893000</v>
      </c>
      <c r="P19" s="64">
        <f t="shared" si="4"/>
        <v>6347000</v>
      </c>
    </row>
    <row r="20" spans="1:16" ht="16" thickBot="1" x14ac:dyDescent="0.25">
      <c r="A20" s="50">
        <f t="shared" si="5"/>
        <v>15</v>
      </c>
      <c r="B20" s="45" t="s">
        <v>118</v>
      </c>
      <c r="C20" s="45" t="s">
        <v>92</v>
      </c>
      <c r="D20" s="45" t="s">
        <v>85</v>
      </c>
      <c r="E20" s="45" t="s">
        <v>62</v>
      </c>
      <c r="F20" s="47">
        <v>1972</v>
      </c>
      <c r="G20" s="45" t="s">
        <v>93</v>
      </c>
      <c r="H20" s="57">
        <v>35753</v>
      </c>
      <c r="I20" s="47">
        <v>28</v>
      </c>
      <c r="J20" s="48">
        <f t="shared" si="0"/>
        <v>275</v>
      </c>
      <c r="K20" s="53" t="str">
        <f t="shared" si="1"/>
        <v>Kế hoạch</v>
      </c>
      <c r="L20" s="48">
        <f>DATEDIF(H20,I3,"y")</f>
        <v>25</v>
      </c>
      <c r="M20" s="64">
        <f t="shared" si="2"/>
        <v>500000</v>
      </c>
      <c r="N20" s="64">
        <f>IF(I20 &lt;=I2, I20*J20*1000, (I2+(I20-I2)*2)*J20*1000)</f>
        <v>8800000</v>
      </c>
      <c r="O20" s="64">
        <f t="shared" si="3"/>
        <v>2933000</v>
      </c>
      <c r="P20" s="64">
        <f t="shared" si="4"/>
        <v>6367000</v>
      </c>
    </row>
    <row r="22" spans="1:16" ht="16" thickBot="1" x14ac:dyDescent="0.25">
      <c r="A22" s="84" t="s">
        <v>155</v>
      </c>
      <c r="B22" s="84"/>
      <c r="C22" s="84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ht="16" thickBot="1" x14ac:dyDescent="0.25">
      <c r="A23" s="73" t="s">
        <v>131</v>
      </c>
      <c r="B23" s="73" t="s">
        <v>139</v>
      </c>
      <c r="C23" s="73" t="s">
        <v>46</v>
      </c>
      <c r="D23" s="74" t="s">
        <v>48</v>
      </c>
      <c r="E23" s="73" t="s">
        <v>140</v>
      </c>
      <c r="F23" s="73" t="s">
        <v>50</v>
      </c>
      <c r="G23" s="73" t="s">
        <v>51</v>
      </c>
      <c r="H23" s="73" t="s">
        <v>141</v>
      </c>
      <c r="I23" s="73" t="s">
        <v>142</v>
      </c>
      <c r="J23" s="73" t="s">
        <v>143</v>
      </c>
      <c r="K23" s="73" t="s">
        <v>144</v>
      </c>
      <c r="L23" s="73" t="s">
        <v>145</v>
      </c>
      <c r="M23" s="73" t="s">
        <v>146</v>
      </c>
      <c r="N23" s="73" t="s">
        <v>147</v>
      </c>
      <c r="O23" s="73" t="s">
        <v>148</v>
      </c>
      <c r="P23" s="73" t="s">
        <v>149</v>
      </c>
    </row>
    <row r="24" spans="1:16" ht="16" thickBot="1" x14ac:dyDescent="0.25">
      <c r="A24" s="73"/>
      <c r="B24" s="73"/>
      <c r="C24" s="73"/>
      <c r="D24" s="74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</row>
    <row r="25" spans="1:16" ht="16" thickBot="1" x14ac:dyDescent="0.25">
      <c r="A25" s="50">
        <v>1</v>
      </c>
      <c r="B25" s="45" t="s">
        <v>104</v>
      </c>
      <c r="C25" s="45" t="s">
        <v>57</v>
      </c>
      <c r="D25" s="45" t="s">
        <v>58</v>
      </c>
      <c r="E25" s="45"/>
      <c r="F25" s="47">
        <v>1973</v>
      </c>
      <c r="G25" s="45" t="s">
        <v>59</v>
      </c>
      <c r="H25" s="57">
        <v>35462</v>
      </c>
      <c r="I25" s="47">
        <v>20</v>
      </c>
      <c r="J25" s="48">
        <f t="shared" ref="J25:J39" si="6">IF(LEFT(B25,1)="A",330,IF(LEFT(B25,1)="B",310,IF(LEFT(B25,1)="C",290,275)))</f>
        <v>330</v>
      </c>
      <c r="K25" s="53" t="str">
        <f t="shared" ref="K25:K39" si="7">IF(RIGHT(B25,1)="1","Kỹ thuật",IF(RIGHT(B25,1)="2","Kế toán","Kế hoạch"))</f>
        <v>Kỹ thuật</v>
      </c>
      <c r="L25" s="48">
        <f>DATEDIF(H25,I3,"y")</f>
        <v>26</v>
      </c>
      <c r="M25" s="64">
        <f t="shared" ref="M25:M39" si="8">L25*20000</f>
        <v>520000</v>
      </c>
      <c r="N25" s="64">
        <f>IF(I25 &lt;=I2, I25*J25*1000, (I2+(I25-I2)*2)*J25*1000)</f>
        <v>6600000</v>
      </c>
      <c r="O25" s="64">
        <f t="shared" ref="O25:O39" si="9">ROUND(N25/3, -3)</f>
        <v>2200000</v>
      </c>
      <c r="P25" s="64">
        <f t="shared" ref="P25:P39" si="10">N25+M25-O25</f>
        <v>4920000</v>
      </c>
    </row>
    <row r="26" spans="1:16" ht="16" hidden="1" thickBot="1" x14ac:dyDescent="0.25">
      <c r="A26" s="50">
        <f t="shared" ref="A26:A39" si="11">A25+1</f>
        <v>2</v>
      </c>
      <c r="B26" s="45" t="s">
        <v>105</v>
      </c>
      <c r="C26" s="45" t="s">
        <v>60</v>
      </c>
      <c r="D26" s="45" t="s">
        <v>61</v>
      </c>
      <c r="E26" s="45" t="s">
        <v>62</v>
      </c>
      <c r="F26" s="47">
        <v>1974</v>
      </c>
      <c r="G26" s="45" t="s">
        <v>63</v>
      </c>
      <c r="H26" s="57">
        <v>35935</v>
      </c>
      <c r="I26" s="47">
        <v>25</v>
      </c>
      <c r="J26" s="48">
        <f t="shared" si="6"/>
        <v>310</v>
      </c>
      <c r="K26" s="53" t="str">
        <f t="shared" si="7"/>
        <v>Kế toán</v>
      </c>
      <c r="L26" s="48" t="e">
        <f>DATEDIF(H26,I22,"y")</f>
        <v>#NUM!</v>
      </c>
      <c r="M26" s="64" t="e">
        <f t="shared" si="8"/>
        <v>#NUM!</v>
      </c>
      <c r="N26" s="64">
        <f>IF(I26 &lt;=I21, I26*J26*1000, (I21+(I26-I21)*2)*J26*1000)</f>
        <v>15500000</v>
      </c>
      <c r="O26" s="64">
        <f t="shared" si="9"/>
        <v>5167000</v>
      </c>
      <c r="P26" s="64" t="e">
        <f t="shared" si="10"/>
        <v>#NUM!</v>
      </c>
    </row>
    <row r="27" spans="1:16" ht="16" thickBot="1" x14ac:dyDescent="0.25">
      <c r="A27" s="50">
        <f t="shared" si="11"/>
        <v>3</v>
      </c>
      <c r="B27" s="45" t="s">
        <v>106</v>
      </c>
      <c r="C27" s="45" t="s">
        <v>64</v>
      </c>
      <c r="D27" s="45" t="s">
        <v>65</v>
      </c>
      <c r="E27" s="45"/>
      <c r="F27" s="47">
        <v>1975</v>
      </c>
      <c r="G27" s="45" t="s">
        <v>66</v>
      </c>
      <c r="H27" s="57">
        <v>36032</v>
      </c>
      <c r="I27" s="47">
        <v>24</v>
      </c>
      <c r="J27" s="48">
        <f t="shared" si="6"/>
        <v>290</v>
      </c>
      <c r="K27" s="53" t="str">
        <f t="shared" si="7"/>
        <v>Kỹ thuật</v>
      </c>
      <c r="L27" s="48">
        <f>DATEDIF(H27,I3,"y")</f>
        <v>25</v>
      </c>
      <c r="M27" s="64">
        <f t="shared" si="8"/>
        <v>500000</v>
      </c>
      <c r="N27" s="64">
        <f>IF(I27 &lt;=I2, I27*J27*1000, (I2+(I21-I2)*2)*J27*1000)</f>
        <v>6960000</v>
      </c>
      <c r="O27" s="64">
        <f t="shared" si="9"/>
        <v>2320000</v>
      </c>
      <c r="P27" s="64">
        <f t="shared" si="10"/>
        <v>5140000</v>
      </c>
    </row>
    <row r="28" spans="1:16" ht="16" hidden="1" thickBot="1" x14ac:dyDescent="0.25">
      <c r="A28" s="50">
        <f t="shared" si="11"/>
        <v>4</v>
      </c>
      <c r="B28" s="45" t="s">
        <v>107</v>
      </c>
      <c r="C28" s="45" t="s">
        <v>67</v>
      </c>
      <c r="D28" s="45" t="s">
        <v>68</v>
      </c>
      <c r="E28" s="45" t="s">
        <v>62</v>
      </c>
      <c r="F28" s="47">
        <v>1969</v>
      </c>
      <c r="G28" s="45" t="s">
        <v>69</v>
      </c>
      <c r="H28" s="57">
        <v>34545</v>
      </c>
      <c r="I28" s="47">
        <v>24</v>
      </c>
      <c r="J28" s="48">
        <f t="shared" si="6"/>
        <v>310</v>
      </c>
      <c r="K28" s="53" t="str">
        <f t="shared" si="7"/>
        <v>Kế hoạch</v>
      </c>
      <c r="L28" s="48" t="e">
        <f>DATEDIF(H28,I22,"y")</f>
        <v>#NUM!</v>
      </c>
      <c r="M28" s="64" t="e">
        <f t="shared" si="8"/>
        <v>#NUM!</v>
      </c>
      <c r="N28" s="64">
        <f>IF(I28 &lt;=I21, I28*J28*1000, (I21+(I28-I21)*2)*J28*1000)</f>
        <v>14880000</v>
      </c>
      <c r="O28" s="64">
        <f t="shared" si="9"/>
        <v>4960000</v>
      </c>
      <c r="P28" s="64" t="e">
        <f t="shared" si="10"/>
        <v>#NUM!</v>
      </c>
    </row>
    <row r="29" spans="1:16" ht="16" thickBot="1" x14ac:dyDescent="0.25">
      <c r="A29" s="50">
        <f t="shared" si="11"/>
        <v>5</v>
      </c>
      <c r="B29" s="45" t="s">
        <v>108</v>
      </c>
      <c r="C29" s="45" t="s">
        <v>70</v>
      </c>
      <c r="D29" s="45" t="s">
        <v>71</v>
      </c>
      <c r="E29" s="45"/>
      <c r="F29" s="47">
        <v>1972</v>
      </c>
      <c r="G29" s="45" t="s">
        <v>72</v>
      </c>
      <c r="H29" s="57">
        <v>35972</v>
      </c>
      <c r="I29" s="47">
        <v>25</v>
      </c>
      <c r="J29" s="48">
        <f t="shared" si="6"/>
        <v>310</v>
      </c>
      <c r="K29" s="53" t="str">
        <f t="shared" si="7"/>
        <v>Kỹ thuật</v>
      </c>
      <c r="L29" s="48">
        <f>DATEDIF(H29,I3,"y")</f>
        <v>25</v>
      </c>
      <c r="M29" s="64">
        <f t="shared" si="8"/>
        <v>500000</v>
      </c>
      <c r="N29" s="64">
        <f>IF(I29 &lt;=I2, I29*J29*1000, (I2+(I29-I2)*2)*J29*1000)</f>
        <v>8060000</v>
      </c>
      <c r="O29" s="64">
        <f t="shared" si="9"/>
        <v>2687000</v>
      </c>
      <c r="P29" s="64">
        <f t="shared" si="10"/>
        <v>5873000</v>
      </c>
    </row>
    <row r="30" spans="1:16" ht="16" thickBot="1" x14ac:dyDescent="0.25">
      <c r="A30" s="50">
        <f t="shared" si="11"/>
        <v>6</v>
      </c>
      <c r="B30" s="45" t="s">
        <v>109</v>
      </c>
      <c r="C30" s="45" t="s">
        <v>73</v>
      </c>
      <c r="D30" s="45" t="s">
        <v>74</v>
      </c>
      <c r="E30" s="45"/>
      <c r="F30" s="47">
        <v>1964</v>
      </c>
      <c r="G30" s="45" t="s">
        <v>59</v>
      </c>
      <c r="H30" s="57">
        <v>34344</v>
      </c>
      <c r="I30" s="47">
        <v>26</v>
      </c>
      <c r="J30" s="48">
        <f t="shared" si="6"/>
        <v>290</v>
      </c>
      <c r="K30" s="53" t="str">
        <f t="shared" si="7"/>
        <v>Kỹ thuật</v>
      </c>
      <c r="L30" s="48">
        <f>DATEDIF(H30,I3,"y")</f>
        <v>29</v>
      </c>
      <c r="M30" s="64">
        <f t="shared" si="8"/>
        <v>580000</v>
      </c>
      <c r="N30" s="64">
        <f>IF(I30 &lt;=I2, I30*J30*1000, (I2+(I30-I2)*2)*J30*1000)</f>
        <v>8120000</v>
      </c>
      <c r="O30" s="64">
        <f t="shared" si="9"/>
        <v>2707000</v>
      </c>
      <c r="P30" s="64">
        <f t="shared" si="10"/>
        <v>5993000</v>
      </c>
    </row>
    <row r="31" spans="1:16" ht="16" hidden="1" thickBot="1" x14ac:dyDescent="0.25">
      <c r="A31" s="50">
        <f t="shared" si="11"/>
        <v>7</v>
      </c>
      <c r="B31" s="45" t="s">
        <v>110</v>
      </c>
      <c r="C31" s="45" t="s">
        <v>75</v>
      </c>
      <c r="D31" s="45" t="s">
        <v>76</v>
      </c>
      <c r="E31" s="45" t="s">
        <v>62</v>
      </c>
      <c r="F31" s="47">
        <v>1977</v>
      </c>
      <c r="G31" s="45" t="s">
        <v>63</v>
      </c>
      <c r="H31" s="57">
        <v>34957</v>
      </c>
      <c r="I31" s="47">
        <v>20</v>
      </c>
      <c r="J31" s="48">
        <f t="shared" si="6"/>
        <v>275</v>
      </c>
      <c r="K31" s="53" t="str">
        <f t="shared" si="7"/>
        <v>Kế toán</v>
      </c>
      <c r="L31" s="48" t="e">
        <f>DATEDIF(H31,I22,"y")</f>
        <v>#NUM!</v>
      </c>
      <c r="M31" s="64" t="e">
        <f t="shared" si="8"/>
        <v>#NUM!</v>
      </c>
      <c r="N31" s="64">
        <f>IF(I31 &lt;=I21, I31*J31*1000, (I21+(I31-I21)*2)*J31*1000)</f>
        <v>11000000</v>
      </c>
      <c r="O31" s="64">
        <f t="shared" si="9"/>
        <v>3667000</v>
      </c>
      <c r="P31" s="64" t="e">
        <f t="shared" si="10"/>
        <v>#NUM!</v>
      </c>
    </row>
    <row r="32" spans="1:16" ht="16" hidden="1" thickBot="1" x14ac:dyDescent="0.25">
      <c r="A32" s="50">
        <f t="shared" si="11"/>
        <v>8</v>
      </c>
      <c r="B32" s="45" t="s">
        <v>111</v>
      </c>
      <c r="C32" s="45" t="s">
        <v>77</v>
      </c>
      <c r="D32" s="45" t="s">
        <v>58</v>
      </c>
      <c r="E32" s="45"/>
      <c r="F32" s="47">
        <v>1973</v>
      </c>
      <c r="G32" s="45" t="s">
        <v>78</v>
      </c>
      <c r="H32" s="57">
        <v>35251</v>
      </c>
      <c r="I32" s="47">
        <v>22</v>
      </c>
      <c r="J32" s="48">
        <f t="shared" si="6"/>
        <v>330</v>
      </c>
      <c r="K32" s="53" t="str">
        <f t="shared" si="7"/>
        <v>Kế hoạch</v>
      </c>
      <c r="L32" s="48" t="e">
        <f>DATEDIF(H32,I22,"y")</f>
        <v>#NUM!</v>
      </c>
      <c r="M32" s="64" t="e">
        <f t="shared" si="8"/>
        <v>#NUM!</v>
      </c>
      <c r="N32" s="64">
        <f>IF(I32 &lt;=I21, I32*J32*1000, (I21+(I32-I21)*2)*J32*1000)</f>
        <v>14520000</v>
      </c>
      <c r="O32" s="64">
        <f t="shared" si="9"/>
        <v>4840000</v>
      </c>
      <c r="P32" s="64" t="e">
        <f t="shared" si="10"/>
        <v>#NUM!</v>
      </c>
    </row>
    <row r="33" spans="1:19" ht="16" hidden="1" thickBot="1" x14ac:dyDescent="0.25">
      <c r="A33" s="50">
        <f t="shared" si="11"/>
        <v>9</v>
      </c>
      <c r="B33" s="45" t="s">
        <v>112</v>
      </c>
      <c r="C33" s="45" t="s">
        <v>79</v>
      </c>
      <c r="D33" s="45" t="s">
        <v>80</v>
      </c>
      <c r="E33" s="45" t="s">
        <v>62</v>
      </c>
      <c r="F33" s="47">
        <v>1975</v>
      </c>
      <c r="G33" s="45" t="s">
        <v>81</v>
      </c>
      <c r="H33" s="57">
        <v>35709</v>
      </c>
      <c r="I33" s="47">
        <v>24</v>
      </c>
      <c r="J33" s="48">
        <f t="shared" si="6"/>
        <v>290</v>
      </c>
      <c r="K33" s="53" t="str">
        <f t="shared" si="7"/>
        <v>Kế toán</v>
      </c>
      <c r="L33" s="48" t="e">
        <f>DATEDIF(H33,I22,"y")</f>
        <v>#NUM!</v>
      </c>
      <c r="M33" s="64" t="e">
        <f t="shared" si="8"/>
        <v>#NUM!</v>
      </c>
      <c r="N33" s="64">
        <f>IF(I33 &lt;=I21, I33*J33*1000, (I21+(I33-I21)*2)*J33*1000)</f>
        <v>13920000</v>
      </c>
      <c r="O33" s="64">
        <f t="shared" si="9"/>
        <v>4640000</v>
      </c>
      <c r="P33" s="64" t="e">
        <f t="shared" si="10"/>
        <v>#NUM!</v>
      </c>
      <c r="Q33"/>
      <c r="R33"/>
      <c r="S33"/>
    </row>
    <row r="34" spans="1:19" ht="16" hidden="1" thickBot="1" x14ac:dyDescent="0.25">
      <c r="A34" s="50">
        <f t="shared" si="11"/>
        <v>10</v>
      </c>
      <c r="B34" s="45" t="s">
        <v>113</v>
      </c>
      <c r="C34" s="45" t="s">
        <v>82</v>
      </c>
      <c r="D34" s="45" t="s">
        <v>74</v>
      </c>
      <c r="E34" s="45"/>
      <c r="F34" s="47">
        <v>1970</v>
      </c>
      <c r="G34" s="45" t="s">
        <v>83</v>
      </c>
      <c r="H34" s="57">
        <v>35789</v>
      </c>
      <c r="I34" s="47">
        <v>24</v>
      </c>
      <c r="J34" s="48">
        <f t="shared" si="6"/>
        <v>275</v>
      </c>
      <c r="K34" s="53" t="str">
        <f t="shared" si="7"/>
        <v>Kế hoạch</v>
      </c>
      <c r="L34" s="48" t="e">
        <f>DATEDIF(H34,I22,"y")</f>
        <v>#NUM!</v>
      </c>
      <c r="M34" s="64" t="e">
        <f t="shared" si="8"/>
        <v>#NUM!</v>
      </c>
      <c r="N34" s="64">
        <f>IF(I34 &lt;=I21, I34*J34*1000, (I21+(I34-I21)*2)*J34*1000)</f>
        <v>13200000</v>
      </c>
      <c r="O34" s="64">
        <f t="shared" si="9"/>
        <v>4400000</v>
      </c>
      <c r="P34" s="64" t="e">
        <f t="shared" si="10"/>
        <v>#NUM!</v>
      </c>
      <c r="Q34"/>
      <c r="R34"/>
      <c r="S34"/>
    </row>
    <row r="35" spans="1:19" ht="16" thickBot="1" x14ac:dyDescent="0.25">
      <c r="A35" s="50">
        <f t="shared" si="11"/>
        <v>11</v>
      </c>
      <c r="B35" s="45" t="s">
        <v>114</v>
      </c>
      <c r="C35" s="45" t="s">
        <v>84</v>
      </c>
      <c r="D35" s="45" t="s">
        <v>85</v>
      </c>
      <c r="E35" s="45" t="s">
        <v>62</v>
      </c>
      <c r="F35" s="47">
        <v>1966</v>
      </c>
      <c r="G35" s="45" t="s">
        <v>72</v>
      </c>
      <c r="H35" s="57">
        <v>35238</v>
      </c>
      <c r="I35" s="47">
        <v>25</v>
      </c>
      <c r="J35" s="48">
        <f t="shared" si="6"/>
        <v>290</v>
      </c>
      <c r="K35" s="53" t="str">
        <f t="shared" si="7"/>
        <v>Kỹ thuật</v>
      </c>
      <c r="L35" s="48">
        <f>DATEDIF(H35,I3,"y")</f>
        <v>27</v>
      </c>
      <c r="M35" s="64">
        <f t="shared" si="8"/>
        <v>540000</v>
      </c>
      <c r="N35" s="64">
        <f>IF(I35 &lt;=I2, I35*J35*1000, (I2+(I35-I2)*2)*J35*1000)</f>
        <v>7540000</v>
      </c>
      <c r="O35" s="64">
        <f t="shared" si="9"/>
        <v>2513000</v>
      </c>
      <c r="P35" s="64">
        <f t="shared" si="10"/>
        <v>5567000</v>
      </c>
      <c r="Q35"/>
      <c r="R35"/>
      <c r="S35"/>
    </row>
    <row r="36" spans="1:19" ht="16" hidden="1" thickBot="1" x14ac:dyDescent="0.25">
      <c r="A36" s="50">
        <f t="shared" si="11"/>
        <v>12</v>
      </c>
      <c r="B36" s="45" t="s">
        <v>115</v>
      </c>
      <c r="C36" s="45" t="s">
        <v>86</v>
      </c>
      <c r="D36" s="45" t="s">
        <v>87</v>
      </c>
      <c r="E36" s="45" t="s">
        <v>62</v>
      </c>
      <c r="F36" s="47">
        <v>1960</v>
      </c>
      <c r="G36" s="45" t="s">
        <v>88</v>
      </c>
      <c r="H36" s="57">
        <v>34069</v>
      </c>
      <c r="I36" s="47">
        <v>24</v>
      </c>
      <c r="J36" s="48">
        <f t="shared" si="6"/>
        <v>310</v>
      </c>
      <c r="K36" s="53" t="str">
        <f t="shared" si="7"/>
        <v>Kế toán</v>
      </c>
      <c r="L36" s="48" t="e">
        <f>DATEDIF(H36,I22,"y")</f>
        <v>#NUM!</v>
      </c>
      <c r="M36" s="64" t="e">
        <f t="shared" si="8"/>
        <v>#NUM!</v>
      </c>
      <c r="N36" s="64">
        <f>IF(I36 &lt;=I21, I36*J36*1000, (I21+(I36-I21)*2)*J36*1000)</f>
        <v>14880000</v>
      </c>
      <c r="O36" s="64">
        <f t="shared" si="9"/>
        <v>4960000</v>
      </c>
      <c r="P36" s="64" t="e">
        <f t="shared" si="10"/>
        <v>#NUM!</v>
      </c>
      <c r="Q36"/>
      <c r="R36"/>
      <c r="S36"/>
    </row>
    <row r="37" spans="1:19" ht="16" thickBot="1" x14ac:dyDescent="0.25">
      <c r="A37" s="50">
        <f t="shared" si="11"/>
        <v>13</v>
      </c>
      <c r="B37" s="45" t="s">
        <v>116</v>
      </c>
      <c r="C37" s="45" t="s">
        <v>89</v>
      </c>
      <c r="D37" s="45" t="s">
        <v>90</v>
      </c>
      <c r="E37" s="45" t="s">
        <v>62</v>
      </c>
      <c r="F37" s="47">
        <v>1962</v>
      </c>
      <c r="G37" s="45" t="s">
        <v>59</v>
      </c>
      <c r="H37" s="57">
        <v>34501</v>
      </c>
      <c r="I37" s="47">
        <v>25</v>
      </c>
      <c r="J37" s="48">
        <f t="shared" si="6"/>
        <v>330</v>
      </c>
      <c r="K37" s="53" t="str">
        <f t="shared" si="7"/>
        <v>Kỹ thuật</v>
      </c>
      <c r="L37" s="48">
        <f>DATEDIF(H37,I3,"y")</f>
        <v>29</v>
      </c>
      <c r="M37" s="64">
        <f t="shared" si="8"/>
        <v>580000</v>
      </c>
      <c r="N37" s="64">
        <f>IF(I37 &lt;=I21, I37*J37*1000, (I21+(I37-I21)*2)*J37*1000)</f>
        <v>16500000</v>
      </c>
      <c r="O37" s="64">
        <f t="shared" si="9"/>
        <v>5500000</v>
      </c>
      <c r="P37" s="64">
        <f t="shared" si="10"/>
        <v>11580000</v>
      </c>
      <c r="Q37"/>
      <c r="R37"/>
      <c r="S37"/>
    </row>
    <row r="38" spans="1:19" ht="16" hidden="1" thickBot="1" x14ac:dyDescent="0.25">
      <c r="A38" s="50">
        <f t="shared" si="11"/>
        <v>14</v>
      </c>
      <c r="B38" s="45" t="s">
        <v>117</v>
      </c>
      <c r="C38" s="45" t="s">
        <v>91</v>
      </c>
      <c r="D38" s="45" t="s">
        <v>87</v>
      </c>
      <c r="E38" s="45"/>
      <c r="F38" s="47">
        <v>1970</v>
      </c>
      <c r="G38" s="45" t="s">
        <v>63</v>
      </c>
      <c r="H38" s="57">
        <v>34986</v>
      </c>
      <c r="I38" s="47">
        <v>26</v>
      </c>
      <c r="J38" s="48">
        <f t="shared" si="6"/>
        <v>310</v>
      </c>
      <c r="K38" s="53" t="str">
        <f t="shared" si="7"/>
        <v>Kế toán</v>
      </c>
      <c r="L38" s="48" t="e">
        <f>DATEDIF(H38,I22,"y")</f>
        <v>#NUM!</v>
      </c>
      <c r="M38" s="64" t="e">
        <f t="shared" si="8"/>
        <v>#NUM!</v>
      </c>
      <c r="N38" s="64">
        <f>IF(I38 &lt;=I21, I38*J38*1000, (I21+(I38-I21)*2)*J38*1000)</f>
        <v>16120000</v>
      </c>
      <c r="O38" s="64">
        <f t="shared" si="9"/>
        <v>5373000</v>
      </c>
      <c r="P38" s="64" t="e">
        <f t="shared" si="10"/>
        <v>#NUM!</v>
      </c>
      <c r="Q38"/>
      <c r="R38"/>
      <c r="S38"/>
    </row>
    <row r="39" spans="1:19" ht="16" hidden="1" thickBot="1" x14ac:dyDescent="0.25">
      <c r="A39" s="50">
        <f t="shared" si="11"/>
        <v>15</v>
      </c>
      <c r="B39" s="45" t="s">
        <v>118</v>
      </c>
      <c r="C39" s="45" t="s">
        <v>92</v>
      </c>
      <c r="D39" s="45" t="s">
        <v>85</v>
      </c>
      <c r="E39" s="45" t="s">
        <v>62</v>
      </c>
      <c r="F39" s="47">
        <v>1972</v>
      </c>
      <c r="G39" s="45" t="s">
        <v>93</v>
      </c>
      <c r="H39" s="57">
        <v>35753</v>
      </c>
      <c r="I39" s="47">
        <v>28</v>
      </c>
      <c r="J39" s="48">
        <f t="shared" si="6"/>
        <v>275</v>
      </c>
      <c r="K39" s="53" t="str">
        <f t="shared" si="7"/>
        <v>Kế hoạch</v>
      </c>
      <c r="L39" s="48" t="e">
        <f>DATEDIF(H39,I22,"y")</f>
        <v>#NUM!</v>
      </c>
      <c r="M39" s="64" t="e">
        <f t="shared" si="8"/>
        <v>#NUM!</v>
      </c>
      <c r="N39" s="64">
        <f>IF(I39 &lt;=I21, I39*J39*1000, (I21+(I39-I21)*2)*J39*1000)</f>
        <v>15400000</v>
      </c>
      <c r="O39" s="64">
        <f t="shared" si="9"/>
        <v>5133000</v>
      </c>
      <c r="P39" s="64" t="e">
        <f t="shared" si="10"/>
        <v>#NUM!</v>
      </c>
      <c r="Q39"/>
      <c r="R39"/>
      <c r="S39"/>
    </row>
    <row r="41" spans="1:19" x14ac:dyDescent="0.2">
      <c r="S41"/>
    </row>
    <row r="42" spans="1:19" ht="16" thickBot="1" x14ac:dyDescent="0.25">
      <c r="A42" t="s">
        <v>156</v>
      </c>
    </row>
    <row r="43" spans="1:19" ht="16" thickBot="1" x14ac:dyDescent="0.25">
      <c r="A43" s="61" t="s">
        <v>131</v>
      </c>
      <c r="B43" s="61" t="s">
        <v>139</v>
      </c>
      <c r="C43" s="83" t="s">
        <v>46</v>
      </c>
      <c r="D43" s="63" t="s">
        <v>48</v>
      </c>
      <c r="E43" s="61" t="s">
        <v>140</v>
      </c>
      <c r="F43" s="61" t="s">
        <v>50</v>
      </c>
      <c r="G43" s="61" t="s">
        <v>51</v>
      </c>
      <c r="H43" s="61" t="s">
        <v>141</v>
      </c>
      <c r="I43" s="61" t="s">
        <v>142</v>
      </c>
      <c r="J43" s="61" t="s">
        <v>143</v>
      </c>
      <c r="K43" s="61" t="s">
        <v>144</v>
      </c>
      <c r="L43" s="61" t="s">
        <v>145</v>
      </c>
      <c r="M43" s="61" t="s">
        <v>146</v>
      </c>
      <c r="N43" s="61" t="s">
        <v>147</v>
      </c>
      <c r="O43" s="61" t="s">
        <v>148</v>
      </c>
      <c r="P43" s="61" t="s">
        <v>149</v>
      </c>
    </row>
    <row r="44" spans="1:19" ht="16" thickBot="1" x14ac:dyDescent="0.25">
      <c r="A44" s="50">
        <v>1</v>
      </c>
      <c r="B44" s="45" t="s">
        <v>104</v>
      </c>
      <c r="C44" s="45" t="s">
        <v>57</v>
      </c>
      <c r="D44" s="45" t="s">
        <v>58</v>
      </c>
      <c r="E44" s="45"/>
      <c r="F44" s="47">
        <v>1973</v>
      </c>
      <c r="G44" s="45" t="s">
        <v>59</v>
      </c>
      <c r="H44" s="57">
        <v>35462</v>
      </c>
      <c r="I44" s="47">
        <v>20</v>
      </c>
      <c r="J44" s="48">
        <v>330</v>
      </c>
      <c r="K44" s="62" t="s">
        <v>152</v>
      </c>
      <c r="L44" s="48">
        <v>26</v>
      </c>
      <c r="M44" s="64">
        <v>520000</v>
      </c>
      <c r="N44" s="64">
        <v>6600000</v>
      </c>
      <c r="O44" s="64">
        <v>2200000</v>
      </c>
      <c r="P44" s="64">
        <v>4920000</v>
      </c>
    </row>
    <row r="45" spans="1:19" ht="16" thickBot="1" x14ac:dyDescent="0.25">
      <c r="A45" s="50">
        <v>2</v>
      </c>
      <c r="B45" s="45" t="s">
        <v>105</v>
      </c>
      <c r="C45" s="45" t="s">
        <v>60</v>
      </c>
      <c r="D45" s="45" t="s">
        <v>61</v>
      </c>
      <c r="E45" s="45" t="s">
        <v>62</v>
      </c>
      <c r="F45" s="47">
        <v>1974</v>
      </c>
      <c r="G45" s="45" t="s">
        <v>63</v>
      </c>
      <c r="H45" s="57">
        <v>35935</v>
      </c>
      <c r="I45" s="47">
        <v>25</v>
      </c>
      <c r="J45" s="48">
        <v>310</v>
      </c>
      <c r="K45" s="62" t="s">
        <v>153</v>
      </c>
      <c r="L45" s="48">
        <v>25</v>
      </c>
      <c r="M45" s="64">
        <v>500000</v>
      </c>
      <c r="N45" s="64">
        <v>8060000</v>
      </c>
      <c r="O45" s="64">
        <v>2687000</v>
      </c>
      <c r="P45" s="64">
        <v>5873000</v>
      </c>
    </row>
    <row r="46" spans="1:19" ht="16" thickBot="1" x14ac:dyDescent="0.25">
      <c r="A46" s="50">
        <v>3</v>
      </c>
      <c r="B46" s="45" t="s">
        <v>106</v>
      </c>
      <c r="C46" s="45" t="s">
        <v>64</v>
      </c>
      <c r="D46" s="45" t="s">
        <v>65</v>
      </c>
      <c r="E46" s="45"/>
      <c r="F46" s="47">
        <v>1975</v>
      </c>
      <c r="G46" s="45" t="s">
        <v>66</v>
      </c>
      <c r="H46" s="57">
        <v>36032</v>
      </c>
      <c r="I46" s="47">
        <v>24</v>
      </c>
      <c r="J46" s="48">
        <v>290</v>
      </c>
      <c r="K46" s="62" t="s">
        <v>152</v>
      </c>
      <c r="L46" s="48">
        <v>25</v>
      </c>
      <c r="M46" s="64">
        <v>500000</v>
      </c>
      <c r="N46" s="64">
        <v>6960000</v>
      </c>
      <c r="O46" s="64">
        <v>2320000</v>
      </c>
      <c r="P46" s="64">
        <v>5140000</v>
      </c>
    </row>
    <row r="47" spans="1:19" ht="16" thickBot="1" x14ac:dyDescent="0.25">
      <c r="A47" s="50">
        <v>4</v>
      </c>
      <c r="B47" s="45" t="s">
        <v>107</v>
      </c>
      <c r="C47" s="45" t="s">
        <v>67</v>
      </c>
      <c r="D47" s="45" t="s">
        <v>68</v>
      </c>
      <c r="E47" s="45" t="s">
        <v>62</v>
      </c>
      <c r="F47" s="47">
        <v>1969</v>
      </c>
      <c r="G47" s="45" t="s">
        <v>69</v>
      </c>
      <c r="H47" s="57">
        <v>34545</v>
      </c>
      <c r="I47" s="47">
        <v>24</v>
      </c>
      <c r="J47" s="48">
        <v>310</v>
      </c>
      <c r="K47" s="62" t="s">
        <v>154</v>
      </c>
      <c r="L47" s="48">
        <v>29</v>
      </c>
      <c r="M47" s="64">
        <v>580000</v>
      </c>
      <c r="N47" s="64">
        <v>7440000</v>
      </c>
      <c r="O47" s="64">
        <v>2480000</v>
      </c>
      <c r="P47" s="64">
        <v>5540000</v>
      </c>
    </row>
    <row r="48" spans="1:19" ht="16" thickBot="1" x14ac:dyDescent="0.25">
      <c r="A48" s="50">
        <v>5</v>
      </c>
      <c r="B48" s="45" t="s">
        <v>108</v>
      </c>
      <c r="C48" s="45" t="s">
        <v>70</v>
      </c>
      <c r="D48" s="45" t="s">
        <v>71</v>
      </c>
      <c r="E48" s="45"/>
      <c r="F48" s="47">
        <v>1972</v>
      </c>
      <c r="G48" s="45" t="s">
        <v>72</v>
      </c>
      <c r="H48" s="57">
        <v>35972</v>
      </c>
      <c r="I48" s="47">
        <v>25</v>
      </c>
      <c r="J48" s="48">
        <v>310</v>
      </c>
      <c r="K48" s="62" t="s">
        <v>152</v>
      </c>
      <c r="L48" s="48">
        <v>25</v>
      </c>
      <c r="M48" s="64">
        <v>500000</v>
      </c>
      <c r="N48" s="64">
        <v>8060000</v>
      </c>
      <c r="O48" s="64">
        <v>2687000</v>
      </c>
      <c r="P48" s="64">
        <v>5873000</v>
      </c>
    </row>
    <row r="49" spans="1:16" ht="16" thickBot="1" x14ac:dyDescent="0.25">
      <c r="A49" s="50">
        <v>6</v>
      </c>
      <c r="B49" s="45" t="s">
        <v>109</v>
      </c>
      <c r="C49" s="45" t="s">
        <v>73</v>
      </c>
      <c r="D49" s="45" t="s">
        <v>74</v>
      </c>
      <c r="E49" s="45"/>
      <c r="F49" s="47">
        <v>1964</v>
      </c>
      <c r="G49" s="45" t="s">
        <v>59</v>
      </c>
      <c r="H49" s="57">
        <v>34344</v>
      </c>
      <c r="I49" s="47">
        <v>26</v>
      </c>
      <c r="J49" s="48">
        <v>290</v>
      </c>
      <c r="K49" s="62" t="s">
        <v>152</v>
      </c>
      <c r="L49" s="48">
        <v>29</v>
      </c>
      <c r="M49" s="64">
        <v>580000</v>
      </c>
      <c r="N49" s="64">
        <v>8120000</v>
      </c>
      <c r="O49" s="64">
        <v>2707000</v>
      </c>
      <c r="P49" s="64">
        <v>5993000</v>
      </c>
    </row>
    <row r="50" spans="1:16" ht="16" thickBot="1" x14ac:dyDescent="0.25">
      <c r="A50" s="50">
        <v>7</v>
      </c>
      <c r="B50" s="45" t="s">
        <v>110</v>
      </c>
      <c r="C50" s="45" t="s">
        <v>75</v>
      </c>
      <c r="D50" s="45" t="s">
        <v>76</v>
      </c>
      <c r="E50" s="45" t="s">
        <v>62</v>
      </c>
      <c r="F50" s="47">
        <v>1977</v>
      </c>
      <c r="G50" s="45" t="s">
        <v>63</v>
      </c>
      <c r="H50" s="57">
        <v>34957</v>
      </c>
      <c r="I50" s="47">
        <v>20</v>
      </c>
      <c r="J50" s="48">
        <v>275</v>
      </c>
      <c r="K50" s="62" t="s">
        <v>153</v>
      </c>
      <c r="L50" s="48">
        <v>28</v>
      </c>
      <c r="M50" s="64">
        <v>560000</v>
      </c>
      <c r="N50" s="64">
        <v>5500000</v>
      </c>
      <c r="O50" s="64">
        <v>1833000</v>
      </c>
      <c r="P50" s="64">
        <v>4227000</v>
      </c>
    </row>
    <row r="51" spans="1:16" ht="16" thickBot="1" x14ac:dyDescent="0.25">
      <c r="A51" s="50">
        <v>8</v>
      </c>
      <c r="B51" s="45" t="s">
        <v>111</v>
      </c>
      <c r="C51" s="45" t="s">
        <v>77</v>
      </c>
      <c r="D51" s="45" t="s">
        <v>58</v>
      </c>
      <c r="E51" s="45"/>
      <c r="F51" s="47">
        <v>1973</v>
      </c>
      <c r="G51" s="45" t="s">
        <v>78</v>
      </c>
      <c r="H51" s="57">
        <v>35251</v>
      </c>
      <c r="I51" s="47">
        <v>22</v>
      </c>
      <c r="J51" s="48">
        <v>330</v>
      </c>
      <c r="K51" s="62" t="s">
        <v>154</v>
      </c>
      <c r="L51" s="48">
        <v>27</v>
      </c>
      <c r="M51" s="64">
        <v>540000</v>
      </c>
      <c r="N51" s="64">
        <v>7260000</v>
      </c>
      <c r="O51" s="64">
        <v>2420000</v>
      </c>
      <c r="P51" s="64">
        <v>5380000</v>
      </c>
    </row>
    <row r="52" spans="1:16" ht="16" thickBot="1" x14ac:dyDescent="0.25">
      <c r="A52" s="50">
        <v>9</v>
      </c>
      <c r="B52" s="45" t="s">
        <v>112</v>
      </c>
      <c r="C52" s="45" t="s">
        <v>79</v>
      </c>
      <c r="D52" s="45" t="s">
        <v>80</v>
      </c>
      <c r="E52" s="45" t="s">
        <v>62</v>
      </c>
      <c r="F52" s="47">
        <v>1975</v>
      </c>
      <c r="G52" s="45" t="s">
        <v>81</v>
      </c>
      <c r="H52" s="57">
        <v>35709</v>
      </c>
      <c r="I52" s="47">
        <v>24</v>
      </c>
      <c r="J52" s="48">
        <v>290</v>
      </c>
      <c r="K52" s="62" t="s">
        <v>153</v>
      </c>
      <c r="L52" s="48">
        <v>26</v>
      </c>
      <c r="M52" s="64">
        <v>520000</v>
      </c>
      <c r="N52" s="64">
        <v>6960000</v>
      </c>
      <c r="O52" s="64">
        <v>2320000</v>
      </c>
      <c r="P52" s="64">
        <v>5160000</v>
      </c>
    </row>
    <row r="53" spans="1:16" ht="16" thickBot="1" x14ac:dyDescent="0.25">
      <c r="A53" s="50">
        <v>10</v>
      </c>
      <c r="B53" s="45" t="s">
        <v>113</v>
      </c>
      <c r="C53" s="45" t="s">
        <v>82</v>
      </c>
      <c r="D53" s="45" t="s">
        <v>74</v>
      </c>
      <c r="E53" s="45"/>
      <c r="F53" s="47">
        <v>1970</v>
      </c>
      <c r="G53" s="45" t="s">
        <v>83</v>
      </c>
      <c r="H53" s="57">
        <v>35789</v>
      </c>
      <c r="I53" s="47">
        <v>24</v>
      </c>
      <c r="J53" s="48">
        <v>275</v>
      </c>
      <c r="K53" s="62" t="s">
        <v>154</v>
      </c>
      <c r="L53" s="48">
        <v>25</v>
      </c>
      <c r="M53" s="64">
        <v>500000</v>
      </c>
      <c r="N53" s="64">
        <v>6600000</v>
      </c>
      <c r="O53" s="64">
        <v>2200000</v>
      </c>
      <c r="P53" s="64">
        <v>4900000</v>
      </c>
    </row>
  </sheetData>
  <autoFilter ref="A23:P39" xr:uid="{1853EBF9-4A3E-1B48-8554-4D2ACF8115A4}">
    <filterColumn colId="10">
      <filters blank="1">
        <filter val="Kỹ thuật"/>
      </filters>
    </filterColumn>
  </autoFilter>
  <mergeCells count="32">
    <mergeCell ref="N4:N5"/>
    <mergeCell ref="O4:O5"/>
    <mergeCell ref="P4:P5"/>
    <mergeCell ref="A4:A5"/>
    <mergeCell ref="H4:H5"/>
    <mergeCell ref="I4:I5"/>
    <mergeCell ref="J4:J5"/>
    <mergeCell ref="K4:K5"/>
    <mergeCell ref="L4:L5"/>
    <mergeCell ref="M4:M5"/>
    <mergeCell ref="B4:B5"/>
    <mergeCell ref="C4:C5"/>
    <mergeCell ref="D4:D5"/>
    <mergeCell ref="E4:E5"/>
    <mergeCell ref="F4:F5"/>
    <mergeCell ref="G4:G5"/>
    <mergeCell ref="P23:P2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3D03-04F6-0B42-8750-405DB9CBDFF6}">
  <dimension ref="A1:N30"/>
  <sheetViews>
    <sheetView tabSelected="1" zoomScale="136" zoomScaleNormal="136" workbookViewId="0">
      <selection activeCell="A9" sqref="A9"/>
    </sheetView>
  </sheetViews>
  <sheetFormatPr baseColWidth="10" defaultRowHeight="15" x14ac:dyDescent="0.2"/>
  <cols>
    <col min="1" max="3" width="10.83203125" style="58"/>
    <col min="6" max="8" width="10.83203125" style="58"/>
    <col min="9" max="9" width="10.83203125" style="1"/>
    <col min="10" max="14" width="10.83203125" style="58"/>
  </cols>
  <sheetData>
    <row r="1" spans="1:13" x14ac:dyDescent="0.2">
      <c r="A1" s="3" t="s">
        <v>131</v>
      </c>
      <c r="B1" s="3" t="s">
        <v>157</v>
      </c>
      <c r="C1" s="3" t="s">
        <v>48</v>
      </c>
      <c r="D1" s="3" t="s">
        <v>158</v>
      </c>
      <c r="E1" s="3" t="s">
        <v>52</v>
      </c>
      <c r="F1" s="3" t="s">
        <v>53</v>
      </c>
      <c r="G1" s="3" t="s">
        <v>159</v>
      </c>
      <c r="H1" s="3" t="s">
        <v>160</v>
      </c>
      <c r="I1" s="3" t="s">
        <v>161</v>
      </c>
      <c r="J1"/>
      <c r="K1" s="3" t="s">
        <v>52</v>
      </c>
      <c r="L1" s="3" t="s">
        <v>53</v>
      </c>
      <c r="M1" s="3" t="s">
        <v>159</v>
      </c>
    </row>
    <row r="2" spans="1:13" x14ac:dyDescent="0.2">
      <c r="A2" s="4">
        <v>1</v>
      </c>
      <c r="B2" s="88" t="s">
        <v>162</v>
      </c>
      <c r="C2" s="88" t="s">
        <v>163</v>
      </c>
      <c r="D2" s="89" t="s">
        <v>164</v>
      </c>
      <c r="E2" s="89">
        <v>6</v>
      </c>
      <c r="F2" s="89">
        <v>8</v>
      </c>
      <c r="G2" s="89">
        <v>8</v>
      </c>
      <c r="H2" s="4">
        <f>E2+F2+G2</f>
        <v>22</v>
      </c>
      <c r="I2" s="87" t="str">
        <f>IF(AND(AND(E2&gt;3,F2&gt;3,G2&gt;3),H2&gt;=IF(LEFT(D2,1)="A",18,IF(LEFT(D2,1)="B",17,16))),"Đậu","Hỏng")</f>
        <v>Đậu</v>
      </c>
      <c r="J2"/>
      <c r="K2" t="s">
        <v>200</v>
      </c>
      <c r="L2" t="s">
        <v>200</v>
      </c>
      <c r="M2" t="s">
        <v>200</v>
      </c>
    </row>
    <row r="3" spans="1:13" x14ac:dyDescent="0.2">
      <c r="A3" s="4">
        <f>A2+1</f>
        <v>2</v>
      </c>
      <c r="B3" s="88" t="s">
        <v>165</v>
      </c>
      <c r="C3" s="88" t="s">
        <v>166</v>
      </c>
      <c r="D3" s="89" t="s">
        <v>167</v>
      </c>
      <c r="E3" s="89">
        <v>8</v>
      </c>
      <c r="F3" s="89">
        <v>5</v>
      </c>
      <c r="G3" s="89">
        <v>9</v>
      </c>
      <c r="H3" s="4">
        <f>E3+F3+G3</f>
        <v>22</v>
      </c>
      <c r="I3" s="87" t="str">
        <f>IF(AND(AND(E3&gt;3,F3&gt;3,G3&gt;3),H3&gt;=IF(LEFT(D3,1)="A",18,IF(LEFT(D3,1)="B",17,16))),"Đậu","Hỏng")</f>
        <v>Đậu</v>
      </c>
      <c r="J3"/>
      <c r="K3"/>
      <c r="L3"/>
      <c r="M3"/>
    </row>
    <row r="4" spans="1:13" x14ac:dyDescent="0.2">
      <c r="A4" s="4">
        <f t="shared" ref="A4:A12" si="0">A3+1</f>
        <v>3</v>
      </c>
      <c r="B4" s="88" t="s">
        <v>168</v>
      </c>
      <c r="C4" s="88" t="s">
        <v>169</v>
      </c>
      <c r="D4" s="89" t="s">
        <v>170</v>
      </c>
      <c r="E4" s="89">
        <v>2.5</v>
      </c>
      <c r="F4" s="89">
        <v>8</v>
      </c>
      <c r="G4" s="89">
        <v>8</v>
      </c>
      <c r="H4" s="4">
        <f>E4+F4+G4</f>
        <v>18.5</v>
      </c>
      <c r="I4" s="87" t="str">
        <f>IF(AND(AND(E4&gt;3,F4&gt;3,G4&gt;3),H4&gt;=IF(LEFT(D4,1)="A",18,IF(LEFT(D4,1)="B",17,16))),"Đậu","Hỏng")</f>
        <v>Hỏng</v>
      </c>
      <c r="J4"/>
      <c r="K4"/>
      <c r="L4"/>
      <c r="M4"/>
    </row>
    <row r="5" spans="1:13" x14ac:dyDescent="0.2">
      <c r="A5" s="4">
        <f t="shared" si="0"/>
        <v>4</v>
      </c>
      <c r="B5" s="88" t="s">
        <v>171</v>
      </c>
      <c r="C5" s="88" t="s">
        <v>172</v>
      </c>
      <c r="D5" s="89" t="s">
        <v>173</v>
      </c>
      <c r="E5" s="89">
        <v>4</v>
      </c>
      <c r="F5" s="89">
        <v>7</v>
      </c>
      <c r="G5" s="89">
        <v>8</v>
      </c>
      <c r="H5" s="4">
        <f>E5+F5+G5</f>
        <v>19</v>
      </c>
      <c r="I5" s="87" t="str">
        <f>IF(AND(AND(E5&gt;3,F5&gt;3,G5&gt;3),H5&gt;=IF(LEFT(D5,1)="A",18,IF(LEFT(D5,1)="B",17,16))),"Đậu","Hỏng")</f>
        <v>Đậu</v>
      </c>
      <c r="J5"/>
      <c r="K5"/>
      <c r="L5"/>
      <c r="M5"/>
    </row>
    <row r="6" spans="1:13" x14ac:dyDescent="0.2">
      <c r="A6" s="4">
        <f t="shared" si="0"/>
        <v>5</v>
      </c>
      <c r="B6" s="88" t="s">
        <v>174</v>
      </c>
      <c r="C6" s="88" t="s">
        <v>175</v>
      </c>
      <c r="D6" s="89" t="s">
        <v>176</v>
      </c>
      <c r="E6" s="89">
        <v>7</v>
      </c>
      <c r="F6" s="89">
        <v>7.5</v>
      </c>
      <c r="G6" s="89">
        <v>6</v>
      </c>
      <c r="H6" s="4">
        <f>E6+F6+G6</f>
        <v>20.5</v>
      </c>
      <c r="I6" s="87" t="str">
        <f>IF(AND(AND(E6&gt;3,F6&gt;3,G6&gt;3),H6&gt;=IF(LEFT(D6,1)="A",18,IF(LEFT(D6,1)="B",17,16))),"Đậu","Hỏng")</f>
        <v>Đậu</v>
      </c>
      <c r="J6"/>
      <c r="K6"/>
      <c r="L6"/>
      <c r="M6"/>
    </row>
    <row r="7" spans="1:13" x14ac:dyDescent="0.2">
      <c r="A7" s="4">
        <f t="shared" si="0"/>
        <v>6</v>
      </c>
      <c r="B7" s="88" t="s">
        <v>177</v>
      </c>
      <c r="C7" s="88" t="s">
        <v>178</v>
      </c>
      <c r="D7" s="89" t="s">
        <v>179</v>
      </c>
      <c r="E7" s="89">
        <v>4</v>
      </c>
      <c r="F7" s="89">
        <v>5</v>
      </c>
      <c r="G7" s="89">
        <v>4</v>
      </c>
      <c r="H7" s="4">
        <f>E7+F7+G7</f>
        <v>13</v>
      </c>
      <c r="I7" s="87" t="str">
        <f>IF(AND(AND(E7&gt;3,F7&gt;3,G7&gt;3),H7&gt;=IF(LEFT(D7,1)="A",18,IF(LEFT(D7,1)="B",17,16))),"Đậu","Hỏng")</f>
        <v>Hỏng</v>
      </c>
      <c r="J7"/>
      <c r="K7"/>
      <c r="L7"/>
      <c r="M7"/>
    </row>
    <row r="8" spans="1:13" x14ac:dyDescent="0.2">
      <c r="A8" s="4">
        <f t="shared" si="0"/>
        <v>7</v>
      </c>
      <c r="B8" s="88" t="s">
        <v>180</v>
      </c>
      <c r="C8" s="88" t="s">
        <v>181</v>
      </c>
      <c r="D8" s="89" t="s">
        <v>182</v>
      </c>
      <c r="E8" s="89">
        <v>4.5</v>
      </c>
      <c r="F8" s="89">
        <v>4</v>
      </c>
      <c r="G8" s="89">
        <v>8</v>
      </c>
      <c r="H8" s="4">
        <f>E8+F8+G8</f>
        <v>16.5</v>
      </c>
      <c r="I8" s="87" t="str">
        <f>IF(AND(AND(E8&gt;3,F8&gt;3,G8&gt;3),H8&gt;=IF(LEFT(D8,1)="A",18,IF(LEFT(D8,1)="B",17,16))),"Đậu","Hỏng")</f>
        <v>Đậu</v>
      </c>
      <c r="J8"/>
      <c r="K8"/>
      <c r="L8"/>
      <c r="M8"/>
    </row>
    <row r="9" spans="1:13" x14ac:dyDescent="0.2">
      <c r="A9" s="4">
        <f t="shared" si="0"/>
        <v>8</v>
      </c>
      <c r="B9" s="88" t="s">
        <v>189</v>
      </c>
      <c r="C9" s="88" t="s">
        <v>190</v>
      </c>
      <c r="D9" s="89" t="s">
        <v>191</v>
      </c>
      <c r="E9" s="89">
        <v>3</v>
      </c>
      <c r="F9" s="89">
        <v>6</v>
      </c>
      <c r="G9" s="89">
        <v>6</v>
      </c>
      <c r="H9" s="4">
        <f>E9+F9+G9</f>
        <v>15</v>
      </c>
      <c r="I9" s="87" t="str">
        <f>IF(AND(AND(E9&gt;3,F9&gt;3,G9&gt;3),H9&gt;=IF(LEFT(D9,1)="A",18,IF(LEFT(D9,1)="B",17,16))),"Đậu","Hỏng")</f>
        <v>Hỏng</v>
      </c>
      <c r="J9"/>
      <c r="K9"/>
      <c r="L9"/>
      <c r="M9"/>
    </row>
    <row r="10" spans="1:13" x14ac:dyDescent="0.2">
      <c r="A10" s="4">
        <f t="shared" si="0"/>
        <v>9</v>
      </c>
      <c r="B10" s="88" t="s">
        <v>183</v>
      </c>
      <c r="C10" s="88" t="s">
        <v>184</v>
      </c>
      <c r="D10" s="89" t="s">
        <v>185</v>
      </c>
      <c r="E10" s="89">
        <v>10</v>
      </c>
      <c r="F10" s="89">
        <v>9</v>
      </c>
      <c r="G10" s="89">
        <v>9</v>
      </c>
      <c r="H10" s="4">
        <f>E10+F10+G10</f>
        <v>28</v>
      </c>
      <c r="I10" s="87" t="str">
        <f>IF(AND(AND(E10&gt;3,F10&gt;3,G10&gt;3),H10&gt;=IF(LEFT(D10,1)="A",18,IF(LEFT(D10,1)="B",17,16))),"Đậu","Hỏng")</f>
        <v>Đậu</v>
      </c>
      <c r="J10"/>
      <c r="K10"/>
      <c r="L10"/>
      <c r="M10"/>
    </row>
    <row r="11" spans="1:13" x14ac:dyDescent="0.2">
      <c r="A11" s="4">
        <f t="shared" si="0"/>
        <v>10</v>
      </c>
      <c r="B11" s="88" t="s">
        <v>186</v>
      </c>
      <c r="C11" s="88" t="s">
        <v>187</v>
      </c>
      <c r="D11" s="89" t="s">
        <v>188</v>
      </c>
      <c r="E11" s="89">
        <v>8</v>
      </c>
      <c r="F11" s="89">
        <v>6</v>
      </c>
      <c r="G11" s="89">
        <v>6</v>
      </c>
      <c r="H11" s="4">
        <f>E11+F11+G11</f>
        <v>20</v>
      </c>
      <c r="I11" s="87" t="str">
        <f>IF(AND(AND(E11&gt;3,F11&gt;3,G11&gt;3),H11&gt;=IF(LEFT(D11,1)="A",18,IF(LEFT(D11,1)="B",17,16))),"Đậu","Hỏng")</f>
        <v>Đậu</v>
      </c>
      <c r="J11"/>
      <c r="K11"/>
      <c r="L11"/>
      <c r="M11"/>
    </row>
    <row r="12" spans="1:13" x14ac:dyDescent="0.2">
      <c r="A12" s="4">
        <f t="shared" si="0"/>
        <v>11</v>
      </c>
      <c r="B12" s="88" t="s">
        <v>192</v>
      </c>
      <c r="C12" s="88" t="s">
        <v>193</v>
      </c>
      <c r="D12" s="89" t="s">
        <v>194</v>
      </c>
      <c r="E12" s="89">
        <v>2.5</v>
      </c>
      <c r="F12" s="89">
        <v>9</v>
      </c>
      <c r="G12" s="89">
        <v>8</v>
      </c>
      <c r="H12" s="4">
        <f>E12+F12+G12</f>
        <v>19.5</v>
      </c>
      <c r="I12" s="87" t="str">
        <f>IF(AND(AND(E12&gt;3,F12&gt;3,G12&gt;3),H12&gt;=IF(LEFT(D12,1)="A",18,IF(LEFT(D12,1)="B",17,16))),"Đậu","Hỏng")</f>
        <v>Hỏng</v>
      </c>
      <c r="J12"/>
      <c r="K12"/>
      <c r="L12"/>
      <c r="M12"/>
    </row>
    <row r="13" spans="1:13" x14ac:dyDescent="0.2">
      <c r="A13" s="91"/>
      <c r="B13" s="85"/>
      <c r="C13" s="85"/>
      <c r="D13" s="85"/>
      <c r="E13" s="85"/>
      <c r="F13" s="85"/>
      <c r="G13" s="85"/>
      <c r="H13" s="91"/>
      <c r="I13" s="90"/>
      <c r="J13"/>
      <c r="K13"/>
      <c r="L13"/>
      <c r="M13"/>
    </row>
    <row r="14" spans="1:13" x14ac:dyDescent="0.2">
      <c r="A14" s="91"/>
      <c r="B14" s="85"/>
      <c r="C14" s="92" t="s">
        <v>195</v>
      </c>
      <c r="D14" s="92"/>
      <c r="E14" s="85"/>
      <c r="F14" s="85"/>
      <c r="G14" s="85"/>
      <c r="H14" s="91"/>
      <c r="I14" s="90"/>
      <c r="J14"/>
      <c r="K14"/>
      <c r="L14"/>
      <c r="M14"/>
    </row>
    <row r="15" spans="1:13" x14ac:dyDescent="0.2">
      <c r="A15" s="91"/>
      <c r="B15" s="85"/>
      <c r="C15" s="93" t="s">
        <v>196</v>
      </c>
      <c r="D15" s="89">
        <f>COUNTIF(I2:I12,"Đậu")</f>
        <v>7</v>
      </c>
      <c r="E15" s="85"/>
      <c r="F15" s="86" t="s">
        <v>198</v>
      </c>
      <c r="G15" s="86"/>
      <c r="H15" s="91"/>
      <c r="I15" s="90"/>
      <c r="J15"/>
      <c r="K15"/>
      <c r="L15"/>
      <c r="M15"/>
    </row>
    <row r="16" spans="1:13" x14ac:dyDescent="0.2">
      <c r="A16" s="91"/>
      <c r="B16" s="85"/>
      <c r="C16" s="93" t="s">
        <v>197</v>
      </c>
      <c r="D16" s="89">
        <f>COUNTIF(I2:I12,"Hỏng")</f>
        <v>4</v>
      </c>
      <c r="E16" s="85"/>
      <c r="F16" s="86" t="s">
        <v>199</v>
      </c>
      <c r="G16" s="94"/>
      <c r="H16" s="91"/>
      <c r="I16" s="90"/>
      <c r="J16"/>
      <c r="K16"/>
      <c r="L16"/>
      <c r="M16"/>
    </row>
    <row r="18" spans="1:14" x14ac:dyDescent="0.2">
      <c r="A18" s="58" t="s">
        <v>202</v>
      </c>
    </row>
    <row r="19" spans="1:14" x14ac:dyDescent="0.2">
      <c r="A19" s="3" t="s">
        <v>157</v>
      </c>
      <c r="B19" s="3" t="s">
        <v>48</v>
      </c>
      <c r="C19" s="3" t="s">
        <v>160</v>
      </c>
      <c r="F19"/>
      <c r="G19" s="95" t="s">
        <v>203</v>
      </c>
      <c r="H19"/>
      <c r="K19"/>
      <c r="L19"/>
      <c r="M19"/>
      <c r="N19"/>
    </row>
    <row r="20" spans="1:14" x14ac:dyDescent="0.2">
      <c r="A20" s="88" t="s">
        <v>177</v>
      </c>
      <c r="B20" s="88" t="s">
        <v>178</v>
      </c>
      <c r="C20" s="4">
        <v>13</v>
      </c>
      <c r="F20" s="3" t="s">
        <v>131</v>
      </c>
      <c r="G20" s="3" t="s">
        <v>157</v>
      </c>
      <c r="H20" s="3" t="s">
        <v>48</v>
      </c>
      <c r="I20" s="3" t="s">
        <v>158</v>
      </c>
      <c r="J20" s="3" t="s">
        <v>52</v>
      </c>
      <c r="K20" s="3" t="s">
        <v>53</v>
      </c>
      <c r="L20" s="3" t="s">
        <v>159</v>
      </c>
      <c r="M20" s="3" t="s">
        <v>160</v>
      </c>
      <c r="N20" s="3" t="s">
        <v>161</v>
      </c>
    </row>
    <row r="21" spans="1:14" x14ac:dyDescent="0.2">
      <c r="A21" s="88" t="s">
        <v>189</v>
      </c>
      <c r="B21" s="88" t="s">
        <v>190</v>
      </c>
      <c r="C21" s="4">
        <v>15</v>
      </c>
      <c r="F21" s="4">
        <v>1</v>
      </c>
      <c r="G21" s="88" t="s">
        <v>162</v>
      </c>
      <c r="H21" s="88" t="s">
        <v>163</v>
      </c>
      <c r="I21" s="89" t="s">
        <v>164</v>
      </c>
      <c r="J21" s="89">
        <v>6</v>
      </c>
      <c r="K21" s="89">
        <v>8</v>
      </c>
      <c r="L21" s="89">
        <v>8</v>
      </c>
      <c r="M21" s="4">
        <v>22</v>
      </c>
      <c r="N21" s="87" t="s">
        <v>201</v>
      </c>
    </row>
    <row r="22" spans="1:14" x14ac:dyDescent="0.2">
      <c r="A22" s="88" t="s">
        <v>180</v>
      </c>
      <c r="B22" s="88" t="s">
        <v>181</v>
      </c>
      <c r="C22" s="4">
        <v>16.5</v>
      </c>
      <c r="F22" s="4">
        <v>5</v>
      </c>
      <c r="G22" s="88" t="s">
        <v>174</v>
      </c>
      <c r="H22" s="88" t="s">
        <v>175</v>
      </c>
      <c r="I22" s="89" t="s">
        <v>176</v>
      </c>
      <c r="J22" s="89">
        <v>7</v>
      </c>
      <c r="K22" s="89">
        <v>7.5</v>
      </c>
      <c r="L22" s="89">
        <v>6</v>
      </c>
      <c r="M22" s="4">
        <v>20.5</v>
      </c>
      <c r="N22" s="87" t="s">
        <v>201</v>
      </c>
    </row>
    <row r="23" spans="1:14" x14ac:dyDescent="0.2">
      <c r="A23" s="88" t="s">
        <v>168</v>
      </c>
      <c r="B23" s="88" t="s">
        <v>169</v>
      </c>
      <c r="C23" s="4">
        <v>18.5</v>
      </c>
      <c r="F23" s="4">
        <v>9</v>
      </c>
      <c r="G23" s="88" t="s">
        <v>183</v>
      </c>
      <c r="H23" s="88" t="s">
        <v>184</v>
      </c>
      <c r="I23" s="89" t="s">
        <v>185</v>
      </c>
      <c r="J23" s="89">
        <v>10</v>
      </c>
      <c r="K23" s="89">
        <v>9</v>
      </c>
      <c r="L23" s="89">
        <v>9</v>
      </c>
      <c r="M23" s="4">
        <v>28</v>
      </c>
      <c r="N23" s="87" t="s">
        <v>201</v>
      </c>
    </row>
    <row r="24" spans="1:14" x14ac:dyDescent="0.2">
      <c r="A24" s="88" t="s">
        <v>171</v>
      </c>
      <c r="B24" s="88" t="s">
        <v>172</v>
      </c>
      <c r="C24" s="4">
        <v>19</v>
      </c>
      <c r="F24" s="4">
        <v>10</v>
      </c>
      <c r="G24" s="88" t="s">
        <v>186</v>
      </c>
      <c r="H24" s="88" t="s">
        <v>187</v>
      </c>
      <c r="I24" s="89" t="s">
        <v>188</v>
      </c>
      <c r="J24" s="89">
        <v>8</v>
      </c>
      <c r="K24" s="89">
        <v>6</v>
      </c>
      <c r="L24" s="89">
        <v>6</v>
      </c>
      <c r="M24" s="4">
        <v>20</v>
      </c>
      <c r="N24" s="87" t="s">
        <v>201</v>
      </c>
    </row>
    <row r="25" spans="1:14" x14ac:dyDescent="0.2">
      <c r="A25" s="88" t="s">
        <v>192</v>
      </c>
      <c r="B25" s="88" t="s">
        <v>193</v>
      </c>
      <c r="C25" s="4">
        <v>19.5</v>
      </c>
    </row>
    <row r="26" spans="1:14" x14ac:dyDescent="0.2">
      <c r="A26" s="88" t="s">
        <v>186</v>
      </c>
      <c r="B26" s="88" t="s">
        <v>187</v>
      </c>
      <c r="C26" s="4">
        <v>20</v>
      </c>
    </row>
    <row r="27" spans="1:14" x14ac:dyDescent="0.2">
      <c r="A27" s="88" t="s">
        <v>174</v>
      </c>
      <c r="B27" s="88" t="s">
        <v>175</v>
      </c>
      <c r="C27" s="4">
        <v>20.5</v>
      </c>
    </row>
    <row r="28" spans="1:14" x14ac:dyDescent="0.2">
      <c r="A28" s="88" t="s">
        <v>162</v>
      </c>
      <c r="B28" s="88" t="s">
        <v>163</v>
      </c>
      <c r="C28" s="4">
        <v>22</v>
      </c>
    </row>
    <row r="29" spans="1:14" x14ac:dyDescent="0.2">
      <c r="A29" s="88" t="s">
        <v>165</v>
      </c>
      <c r="B29" s="88" t="s">
        <v>166</v>
      </c>
      <c r="C29" s="4">
        <v>22</v>
      </c>
    </row>
    <row r="30" spans="1:14" x14ac:dyDescent="0.2">
      <c r="A30" s="88" t="s">
        <v>183</v>
      </c>
      <c r="B30" s="88" t="s">
        <v>184</v>
      </c>
      <c r="C30" s="4">
        <v>28</v>
      </c>
    </row>
  </sheetData>
  <mergeCells count="1">
    <mergeCell ref="C14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BT1</vt:lpstr>
      <vt:lpstr>BT2</vt:lpstr>
      <vt:lpstr>BT3</vt:lpstr>
      <vt:lpstr>BT4</vt:lpstr>
      <vt:lpstr>'BT4'!Criteria</vt:lpstr>
      <vt:lpstr>'BT3'!Extract</vt:lpstr>
      <vt:lpstr>'BT4'!Extract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</dc:creator>
  <cp:lastModifiedBy>Microsoft Office User</cp:lastModifiedBy>
  <dcterms:created xsi:type="dcterms:W3CDTF">2023-10-31T00:39:27Z</dcterms:created>
  <dcterms:modified xsi:type="dcterms:W3CDTF">2023-10-31T14:19:54Z</dcterms:modified>
</cp:coreProperties>
</file>